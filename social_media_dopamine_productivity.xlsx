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minimized="1" xWindow="0" yWindow="0" windowWidth="20490" windowHeight="7155" activeTab="6"/>
  </bookViews>
  <sheets>
    <sheet name="Sheet2" sheetId="3" r:id="rId1"/>
    <sheet name="Sheet3" sheetId="4" r:id="rId2"/>
    <sheet name="Sheet4" sheetId="5" r:id="rId3"/>
    <sheet name="Sheet5" sheetId="6" r:id="rId4"/>
    <sheet name="Sheet6" sheetId="7" r:id="rId5"/>
    <sheet name="social_media_dopamine_productiv" sheetId="1" r:id="rId6"/>
    <sheet name="Sheet1" sheetId="2" r:id="rId7"/>
  </sheets>
  <definedNames>
    <definedName name="_xlcn.WorksheetConnection_social_media_dopamine_productivity.xlsxTable11" hidden="1">Table1[]</definedName>
  </definedNames>
  <calcPr calcId="152511"/>
  <pivotCaches>
    <pivotCache cacheId="5" r:id="rId8"/>
    <pivotCache cacheId="6" r:id="rId9"/>
    <pivotCache cacheId="7" r:id="rId10"/>
    <pivotCache cacheId="8" r:id="rId11"/>
    <pivotCache cacheId="9" r:id="rId12"/>
  </pivotCaches>
  <extLst>
    <ext xmlns:x15="http://schemas.microsoft.com/office/spreadsheetml/2010/11/main" uri="{FCE2AD5D-F65C-4FA6-A056-5C36A1767C68}">
      <x15:dataModel>
        <x15:modelTables>
          <x15:modelTable id="Table1-cda30e69-5655-42f8-aa4c-915e4701c164" name="Table1" connection="WorksheetConnection_social_media_dopamine_productivity.xlsx!Table1"/>
        </x15:modelTables>
      </x15:dataModel>
    </ext>
  </extLst>
</workbook>
</file>

<file path=xl/calcChain.xml><?xml version="1.0" encoding="utf-8"?>
<calcChain xmlns="http://schemas.openxmlformats.org/spreadsheetml/2006/main">
  <c r="J10" i="2" l="1"/>
  <c r="F10" i="2"/>
  <c r="C10" i="2" l="1"/>
  <c r="A10" i="2"/>
  <c r="K7" i="2"/>
  <c r="B4" i="2"/>
  <c r="G7" i="2"/>
  <c r="E7" i="2"/>
  <c r="B7" i="2"/>
  <c r="A7" i="2"/>
  <c r="L4" i="2"/>
  <c r="I4" i="2"/>
  <c r="G4" i="2"/>
  <c r="D4" i="2"/>
  <c r="A4" i="2" l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ocial_media_dopamine_productivity.xlsx!Table1" type="102" refreshedVersion="5" minRefreshableVersion="5">
    <extLst>
      <ext xmlns:x15="http://schemas.microsoft.com/office/spreadsheetml/2010/11/main" uri="{DE250136-89BD-433C-8126-D09CA5730AF9}">
        <x15:connection id="Table1-cda30e69-5655-42f8-aa4c-915e4701c164" autoDelete="1">
          <x15:rangePr sourceName="_xlcn.WorksheetConnection_social_media_dopamine_productivity.xlsxTable11"/>
        </x15:connection>
      </ext>
    </extLst>
  </connection>
</connections>
</file>

<file path=xl/sharedStrings.xml><?xml version="1.0" encoding="utf-8"?>
<sst xmlns="http://schemas.openxmlformats.org/spreadsheetml/2006/main" count="11302" uniqueCount="656">
  <si>
    <t>participant_id</t>
  </si>
  <si>
    <t>age</t>
  </si>
  <si>
    <t>age_group</t>
  </si>
  <si>
    <t>gender</t>
  </si>
  <si>
    <t>race_ethnicity</t>
  </si>
  <si>
    <t>nationality</t>
  </si>
  <si>
    <t>country_of_residence</t>
  </si>
  <si>
    <t>education_level</t>
  </si>
  <si>
    <t>employment_status</t>
  </si>
  <si>
    <t>occupation_category</t>
  </si>
  <si>
    <t>relationship_status</t>
  </si>
  <si>
    <t>avg_daily_sm_hours</t>
  </si>
  <si>
    <t>years_on_social_media</t>
  </si>
  <si>
    <t>primary_platform</t>
  </si>
  <si>
    <t>secondary_platform</t>
  </si>
  <si>
    <t>daily_check_frequency</t>
  </si>
  <si>
    <t>first_check_of_day</t>
  </si>
  <si>
    <t>late_night_scrolling</t>
  </si>
  <si>
    <t>sm_during_work_study</t>
  </si>
  <si>
    <t>sm_during_meals</t>
  </si>
  <si>
    <t>notifications_always_on</t>
  </si>
  <si>
    <t>scroll_without_purpose</t>
  </si>
  <si>
    <t>doomscrolling_frequency</t>
  </si>
  <si>
    <t>content_type_consumed</t>
  </si>
  <si>
    <t>avg_daily_screen_time_hours</t>
  </si>
  <si>
    <t>avg_sleep_hours</t>
  </si>
  <si>
    <t>sleep_quality</t>
  </si>
  <si>
    <t>exercise_frequency</t>
  </si>
  <si>
    <t>avg_work_study_hours_per_day</t>
  </si>
  <si>
    <t>dopamine_rush_feel_score</t>
  </si>
  <si>
    <t>reward_seeking_behavior</t>
  </si>
  <si>
    <t>fomo_score</t>
  </si>
  <si>
    <t>comparison_to_others_score</t>
  </si>
  <si>
    <t>validation_seeking_score</t>
  </si>
  <si>
    <t>boredom_to_phone_reflex</t>
  </si>
  <si>
    <t>inability_to_delay_gratification</t>
  </si>
  <si>
    <t>attention_span_minutes</t>
  </si>
  <si>
    <t>deep_work_duration_minutes</t>
  </si>
  <si>
    <t>task_switching_frequency</t>
  </si>
  <si>
    <t>difficulty_starting_tasks</t>
  </si>
  <si>
    <t>difficulty_maintaining_focus</t>
  </si>
  <si>
    <t>mind_wandering_during_work</t>
  </si>
  <si>
    <t>productivity_self_rating</t>
  </si>
  <si>
    <t>tasks_completed_per_day</t>
  </si>
  <si>
    <t>work_quality_self_rating</t>
  </si>
  <si>
    <t>creative_output_frequency</t>
  </si>
  <si>
    <t>reading_duration_minutes_per_day</t>
  </si>
  <si>
    <t>memory_recall_difficulty</t>
  </si>
  <si>
    <t>learning_retention_difficulty</t>
  </si>
  <si>
    <t>decision_fatigue_score</t>
  </si>
  <si>
    <t>mental_fog_frequency</t>
  </si>
  <si>
    <t>irritability_when_offline</t>
  </si>
  <si>
    <t>anxiety_when_phone_unavailable</t>
  </si>
  <si>
    <t>restlessness_score</t>
  </si>
  <si>
    <t>mood_dependency_on_sm</t>
  </si>
  <si>
    <t>withdrawal_attempt_count</t>
  </si>
  <si>
    <t>longest_detox_days</t>
  </si>
  <si>
    <t>detox_relapse_reason</t>
  </si>
  <si>
    <t>severity_stage</t>
  </si>
  <si>
    <t>productivity_decline_score</t>
  </si>
  <si>
    <t>dopamine_dysregulation_index</t>
  </si>
  <si>
    <t>digital_wellbeing_score</t>
  </si>
  <si>
    <t>sm_addiction_risk_score</t>
  </si>
  <si>
    <t>notes</t>
  </si>
  <si>
    <t>P0001</t>
  </si>
  <si>
    <t>13-17</t>
  </si>
  <si>
    <t>Female</t>
  </si>
  <si>
    <t>South Asian</t>
  </si>
  <si>
    <t>Indian</t>
  </si>
  <si>
    <t>India</t>
  </si>
  <si>
    <t>High school</t>
  </si>
  <si>
    <t>Student</t>
  </si>
  <si>
    <t>Education</t>
  </si>
  <si>
    <t>Single</t>
  </si>
  <si>
    <t>Instagram</t>
  </si>
  <si>
    <t>YouTube</t>
  </si>
  <si>
    <t>Constantly</t>
  </si>
  <si>
    <t>Within 5 mins of waking</t>
  </si>
  <si>
    <t>Daily</t>
  </si>
  <si>
    <t>Always</t>
  </si>
  <si>
    <t>Yes</t>
  </si>
  <si>
    <t>Short video/Reels</t>
  </si>
  <si>
    <t>Poor</t>
  </si>
  <si>
    <t>Never</t>
  </si>
  <si>
    <t>High</t>
  </si>
  <si>
    <t>Low</t>
  </si>
  <si>
    <t>Boredom</t>
  </si>
  <si>
    <t>Critical</t>
  </si>
  <si>
    <t>P0002</t>
  </si>
  <si>
    <t>Male</t>
  </si>
  <si>
    <t>East Asian</t>
  </si>
  <si>
    <t>Chinese</t>
  </si>
  <si>
    <t>China</t>
  </si>
  <si>
    <t>TikTok</t>
  </si>
  <si>
    <t>Very poor</t>
  </si>
  <si>
    <t>Curiosity</t>
  </si>
  <si>
    <t>P0003</t>
  </si>
  <si>
    <t>Black/African</t>
  </si>
  <si>
    <t>Nigerian</t>
  </si>
  <si>
    <t>Nigeria</t>
  </si>
  <si>
    <t>Every few hours</t>
  </si>
  <si>
    <t>Within 30 mins</t>
  </si>
  <si>
    <t>Often</t>
  </si>
  <si>
    <t>1-2x/week</t>
  </si>
  <si>
    <t>Severe</t>
  </si>
  <si>
    <t>P0004</t>
  </si>
  <si>
    <t>18-22</t>
  </si>
  <si>
    <t>White/Caucasian</t>
  </si>
  <si>
    <t>American</t>
  </si>
  <si>
    <t>USA</t>
  </si>
  <si>
    <t>Reddit</t>
  </si>
  <si>
    <t>Sometimes</t>
  </si>
  <si>
    <t>Gaming/Tech content</t>
  </si>
  <si>
    <t>P0005</t>
  </si>
  <si>
    <t>Hispanic/Latino</t>
  </si>
  <si>
    <t>Mexican</t>
  </si>
  <si>
    <t>Mexico</t>
  </si>
  <si>
    <t>FOMO</t>
  </si>
  <si>
    <t>P0006</t>
  </si>
  <si>
    <t>Pakistani</t>
  </si>
  <si>
    <t>Pakistan</t>
  </si>
  <si>
    <t>P0007</t>
  </si>
  <si>
    <t>British</t>
  </si>
  <si>
    <t>UK</t>
  </si>
  <si>
    <t>Undergraduate</t>
  </si>
  <si>
    <t>Lifestyle/Fashion</t>
  </si>
  <si>
    <t>Fair</t>
  </si>
  <si>
    <t>P0008</t>
  </si>
  <si>
    <t>Japanese</t>
  </si>
  <si>
    <t>Japan</t>
  </si>
  <si>
    <t>Twitter/X</t>
  </si>
  <si>
    <t>Moderate</t>
  </si>
  <si>
    <t>P0009</t>
  </si>
  <si>
    <t>Bangladeshi</t>
  </si>
  <si>
    <t>Bangladesh</t>
  </si>
  <si>
    <t>Facebook</t>
  </si>
  <si>
    <t>Validation seeking</t>
  </si>
  <si>
    <t>P0010</t>
  </si>
  <si>
    <t>Kenyan</t>
  </si>
  <si>
    <t>Kenya</t>
  </si>
  <si>
    <t>P0011</t>
  </si>
  <si>
    <t>Australian</t>
  </si>
  <si>
    <t>Australia</t>
  </si>
  <si>
    <t>In a relationship</t>
  </si>
  <si>
    <t>P0012</t>
  </si>
  <si>
    <t>Brazilian</t>
  </si>
  <si>
    <t>Brazil</t>
  </si>
  <si>
    <t>Sports/Entertainment</t>
  </si>
  <si>
    <t>P0013</t>
  </si>
  <si>
    <t>Middle Eastern</t>
  </si>
  <si>
    <t>Saudi</t>
  </si>
  <si>
    <t>Saudi Arabia</t>
  </si>
  <si>
    <t>Comparison</t>
  </si>
  <si>
    <t>P0014</t>
  </si>
  <si>
    <t>23-27</t>
  </si>
  <si>
    <t>Educational/News</t>
  </si>
  <si>
    <t>P0015</t>
  </si>
  <si>
    <t>South Korean</t>
  </si>
  <si>
    <t>South Korea</t>
  </si>
  <si>
    <t>P0016</t>
  </si>
  <si>
    <t>Canadian</t>
  </si>
  <si>
    <t>Canada</t>
  </si>
  <si>
    <t>P0017</t>
  </si>
  <si>
    <t>South African</t>
  </si>
  <si>
    <t>South Africa</t>
  </si>
  <si>
    <t>P0018</t>
  </si>
  <si>
    <t>Full-time employed</t>
  </si>
  <si>
    <t>Technology</t>
  </si>
  <si>
    <t>WeChat</t>
  </si>
  <si>
    <t>Weibo</t>
  </si>
  <si>
    <t>News/Politics</t>
  </si>
  <si>
    <t>Early</t>
  </si>
  <si>
    <t>P0019</t>
  </si>
  <si>
    <t>Colombian</t>
  </si>
  <si>
    <t>Colombia</t>
  </si>
  <si>
    <t>P0020</t>
  </si>
  <si>
    <t>P0021</t>
  </si>
  <si>
    <t>P0022</t>
  </si>
  <si>
    <t>Part-time employed</t>
  </si>
  <si>
    <t>Retail</t>
  </si>
  <si>
    <t>P0023</t>
  </si>
  <si>
    <t>Ghanaian</t>
  </si>
  <si>
    <t>Ghana</t>
  </si>
  <si>
    <t>P0024</t>
  </si>
  <si>
    <t>Argentinian</t>
  </si>
  <si>
    <t>Argentina</t>
  </si>
  <si>
    <t>P0025</t>
  </si>
  <si>
    <t>Sri Lankan</t>
  </si>
  <si>
    <t>Sri Lanka</t>
  </si>
  <si>
    <t>P0026</t>
  </si>
  <si>
    <t>German</t>
  </si>
  <si>
    <t>Germany</t>
  </si>
  <si>
    <t>P0027</t>
  </si>
  <si>
    <t>Creative</t>
  </si>
  <si>
    <t>P0028</t>
  </si>
  <si>
    <t>Nepali</t>
  </si>
  <si>
    <t>Nepal</t>
  </si>
  <si>
    <t>P0029</t>
  </si>
  <si>
    <t>Turkish</t>
  </si>
  <si>
    <t>Turkey</t>
  </si>
  <si>
    <t>P0030</t>
  </si>
  <si>
    <t>Ethiopian</t>
  </si>
  <si>
    <t>Ethiopia</t>
  </si>
  <si>
    <t>P0031</t>
  </si>
  <si>
    <t>French</t>
  </si>
  <si>
    <t>France</t>
  </si>
  <si>
    <t>P0032</t>
  </si>
  <si>
    <t>Filipino</t>
  </si>
  <si>
    <t>Philippines</t>
  </si>
  <si>
    <t>P0033</t>
  </si>
  <si>
    <t>P0034</t>
  </si>
  <si>
    <t>P0035</t>
  </si>
  <si>
    <t>P0036</t>
  </si>
  <si>
    <t>P0037</t>
  </si>
  <si>
    <t>Douyin/TikTok</t>
  </si>
  <si>
    <t>P0038</t>
  </si>
  <si>
    <t>P0039</t>
  </si>
  <si>
    <t>P0040</t>
  </si>
  <si>
    <t>Iranian</t>
  </si>
  <si>
    <t>Iran</t>
  </si>
  <si>
    <t>Telegram</t>
  </si>
  <si>
    <t>P0041</t>
  </si>
  <si>
    <t>Vietnamese</t>
  </si>
  <si>
    <t>Vietnam</t>
  </si>
  <si>
    <t>P0042</t>
  </si>
  <si>
    <t>Cameroonian</t>
  </si>
  <si>
    <t>Cameroon</t>
  </si>
  <si>
    <t>P0043</t>
  </si>
  <si>
    <t>Venezuelan</t>
  </si>
  <si>
    <t>Venezuela</t>
  </si>
  <si>
    <t>P0044</t>
  </si>
  <si>
    <t>P0045</t>
  </si>
  <si>
    <t>P0046</t>
  </si>
  <si>
    <t>Thai</t>
  </si>
  <si>
    <t>Thailand</t>
  </si>
  <si>
    <t>P0047</t>
  </si>
  <si>
    <t>P0048</t>
  </si>
  <si>
    <t>Zimbabwean</t>
  </si>
  <si>
    <t>Zimbabwe</t>
  </si>
  <si>
    <t>P0049</t>
  </si>
  <si>
    <t>Malaysian</t>
  </si>
  <si>
    <t>Malaysia</t>
  </si>
  <si>
    <t>Finance</t>
  </si>
  <si>
    <t>P0050</t>
  </si>
  <si>
    <t>Peruvian</t>
  </si>
  <si>
    <t>Peru</t>
  </si>
  <si>
    <t>P0051</t>
  </si>
  <si>
    <t>Lebanese</t>
  </si>
  <si>
    <t>Lebanon</t>
  </si>
  <si>
    <t>P0052</t>
  </si>
  <si>
    <t>Hospitality</t>
  </si>
  <si>
    <t>P0053</t>
  </si>
  <si>
    <t>P0054</t>
  </si>
  <si>
    <t>Indonesian</t>
  </si>
  <si>
    <t>Indonesia</t>
  </si>
  <si>
    <t>Entertainment/News</t>
  </si>
  <si>
    <t>P0055</t>
  </si>
  <si>
    <t>Senegalese</t>
  </si>
  <si>
    <t>Senegal</t>
  </si>
  <si>
    <t>P0056</t>
  </si>
  <si>
    <t>Spanish</t>
  </si>
  <si>
    <t>Spain</t>
  </si>
  <si>
    <t>P0057</t>
  </si>
  <si>
    <t>P0058</t>
  </si>
  <si>
    <t>Business</t>
  </si>
  <si>
    <t>News/Entertainment</t>
  </si>
  <si>
    <t>Good</t>
  </si>
  <si>
    <t>P0059</t>
  </si>
  <si>
    <t>P0060</t>
  </si>
  <si>
    <t>Egyptian</t>
  </si>
  <si>
    <t>Egypt</t>
  </si>
  <si>
    <t>P0061</t>
  </si>
  <si>
    <t>LinkedIn</t>
  </si>
  <si>
    <t>2-3 times a day</t>
  </si>
  <si>
    <t>Rarely</t>
  </si>
  <si>
    <t>3-4x/week</t>
  </si>
  <si>
    <t>Peer pressure</t>
  </si>
  <si>
    <t>P0062</t>
  </si>
  <si>
    <t>28-35</t>
  </si>
  <si>
    <t>Postgraduate</t>
  </si>
  <si>
    <t>News/Professional</t>
  </si>
  <si>
    <t>None/Minimal</t>
  </si>
  <si>
    <t>P0063</t>
  </si>
  <si>
    <t>P0064</t>
  </si>
  <si>
    <t>P0065</t>
  </si>
  <si>
    <t>Healthcare</t>
  </si>
  <si>
    <t>No</t>
  </si>
  <si>
    <t>Lifestyle/News</t>
  </si>
  <si>
    <t>P0066</t>
  </si>
  <si>
    <t>Engineering</t>
  </si>
  <si>
    <t>Married</t>
  </si>
  <si>
    <t>Sports/News</t>
  </si>
  <si>
    <t>P0067</t>
  </si>
  <si>
    <t>P0068</t>
  </si>
  <si>
    <t>P0069</t>
  </si>
  <si>
    <t>Within 1 hour</t>
  </si>
  <si>
    <t>Health/Parenting</t>
  </si>
  <si>
    <t>P0070</t>
  </si>
  <si>
    <t>Creative/Art</t>
  </si>
  <si>
    <t>P0071</t>
  </si>
  <si>
    <t>Educational/Parenting</t>
  </si>
  <si>
    <t>P0072</t>
  </si>
  <si>
    <t>P0073</t>
  </si>
  <si>
    <t>Marketing</t>
  </si>
  <si>
    <t>P0074</t>
  </si>
  <si>
    <t>Professional/News</t>
  </si>
  <si>
    <t>N/A</t>
  </si>
  <si>
    <t>P0075</t>
  </si>
  <si>
    <t>Educational/Lifestyle</t>
  </si>
  <si>
    <t>P0076</t>
  </si>
  <si>
    <t>P0077</t>
  </si>
  <si>
    <t>Research</t>
  </si>
  <si>
    <t>P0078</t>
  </si>
  <si>
    <t>Tech/Professional</t>
  </si>
  <si>
    <t>P0079</t>
  </si>
  <si>
    <t>Government</t>
  </si>
  <si>
    <t>News/Social issues</t>
  </si>
  <si>
    <t>P0080</t>
  </si>
  <si>
    <t>Financial/News</t>
  </si>
  <si>
    <t>P0081</t>
  </si>
  <si>
    <t>Short video/Lifestyle</t>
  </si>
  <si>
    <t>P0082</t>
  </si>
  <si>
    <t>Lifestyle/Entertainment</t>
  </si>
  <si>
    <t>P0083</t>
  </si>
  <si>
    <t>Health/Professional</t>
  </si>
  <si>
    <t>P0084</t>
  </si>
  <si>
    <t>P0085</t>
  </si>
  <si>
    <t>Educational/Social</t>
  </si>
  <si>
    <t>P0086</t>
  </si>
  <si>
    <t>P0087</t>
  </si>
  <si>
    <t>P0088</t>
  </si>
  <si>
    <t>Creative/Entertainment</t>
  </si>
  <si>
    <t>P0089</t>
  </si>
  <si>
    <t>News/Social</t>
  </si>
  <si>
    <t>P0090</t>
  </si>
  <si>
    <t>Academic/News</t>
  </si>
  <si>
    <t>Very good</t>
  </si>
  <si>
    <t>P0091</t>
  </si>
  <si>
    <t>Tech/Lifestyle</t>
  </si>
  <si>
    <t>P0092</t>
  </si>
  <si>
    <t>Entertainment/Business</t>
  </si>
  <si>
    <t>P0093</t>
  </si>
  <si>
    <t>Lifestyle/Marketing</t>
  </si>
  <si>
    <t>P0094</t>
  </si>
  <si>
    <t>P0095</t>
  </si>
  <si>
    <t>Academic/Lifestyle</t>
  </si>
  <si>
    <t>P0096</t>
  </si>
  <si>
    <t>P0097</t>
  </si>
  <si>
    <t>P0098</t>
  </si>
  <si>
    <t>P0099</t>
  </si>
  <si>
    <t>P0100</t>
  </si>
  <si>
    <t>P0101</t>
  </si>
  <si>
    <t>Academic/Social</t>
  </si>
  <si>
    <t>P0102</t>
  </si>
  <si>
    <t>P0103</t>
  </si>
  <si>
    <t>Tech/Entertainment</t>
  </si>
  <si>
    <t>P0104</t>
  </si>
  <si>
    <t>P0105</t>
  </si>
  <si>
    <t>Financial/Professional</t>
  </si>
  <si>
    <t>P0106</t>
  </si>
  <si>
    <t>P0107</t>
  </si>
  <si>
    <t>Business/Entertainment</t>
  </si>
  <si>
    <t>P0108</t>
  </si>
  <si>
    <t>Short video/Social</t>
  </si>
  <si>
    <t>P0109</t>
  </si>
  <si>
    <t>P0110</t>
  </si>
  <si>
    <t>Creative/Fashion</t>
  </si>
  <si>
    <t>P0111</t>
  </si>
  <si>
    <t>Tech/News</t>
  </si>
  <si>
    <t>P0112</t>
  </si>
  <si>
    <t>Marketing/Lifestyle</t>
  </si>
  <si>
    <t>P0113</t>
  </si>
  <si>
    <t>Entertainment/Lifestyle</t>
  </si>
  <si>
    <t>P0114</t>
  </si>
  <si>
    <t>Health/Lifestyle</t>
  </si>
  <si>
    <t>P0115</t>
  </si>
  <si>
    <t>P0116</t>
  </si>
  <si>
    <t>P0117</t>
  </si>
  <si>
    <t>P0118</t>
  </si>
  <si>
    <t>P0119</t>
  </si>
  <si>
    <t>P0120</t>
  </si>
  <si>
    <t>P0121</t>
  </si>
  <si>
    <t>36-49</t>
  </si>
  <si>
    <t>P0122</t>
  </si>
  <si>
    <t>P0123</t>
  </si>
  <si>
    <t>P0124</t>
  </si>
  <si>
    <t>P0125</t>
  </si>
  <si>
    <t>P0126</t>
  </si>
  <si>
    <t>Business/News</t>
  </si>
  <si>
    <t>P0127</t>
  </si>
  <si>
    <t>Financial/Lifestyle</t>
  </si>
  <si>
    <t>P0128</t>
  </si>
  <si>
    <t>Academic/Professional</t>
  </si>
  <si>
    <t>P0129</t>
  </si>
  <si>
    <t>P0130</t>
  </si>
  <si>
    <t>P0131</t>
  </si>
  <si>
    <t>Marketing/Parenting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</si>
  <si>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</si>
  <si>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</si>
  <si>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</si>
  <si>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</si>
  <si>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</si>
  <si>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</si>
  <si>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</si>
  <si>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</si>
  <si>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</si>
  <si>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</si>
  <si>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</si>
  <si>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</si>
  <si>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Creative/Lifestyle</t>
  </si>
  <si>
    <t>P0144</t>
  </si>
  <si>
    <t>P0145</t>
  </si>
  <si>
    <t>P0146</t>
  </si>
  <si>
    <t>P0147</t>
  </si>
  <si>
    <t>P0148</t>
  </si>
  <si>
    <t>P0149</t>
  </si>
  <si>
    <t>Lifestyle/Parenting</t>
  </si>
  <si>
    <t>P0150</t>
  </si>
  <si>
    <t>P0151</t>
  </si>
  <si>
    <t>P0152</t>
  </si>
  <si>
    <t>P0153</t>
  </si>
  <si>
    <t>P0154</t>
  </si>
  <si>
    <t>Entertainment/Social</t>
  </si>
  <si>
    <t>P0155</t>
  </si>
  <si>
    <t>P0156</t>
  </si>
  <si>
    <t>P0157</t>
  </si>
  <si>
    <t>P0158</t>
  </si>
  <si>
    <t>P0159</t>
  </si>
  <si>
    <t>News/Government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</si>
  <si>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</si>
  <si>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</si>
  <si>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</si>
  <si>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</si>
  <si>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</si>
  <si>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</si>
  <si>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</si>
  <si>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</si>
  <si>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</si>
  <si>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</si>
  <si>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</si>
  <si>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Snapchat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</si>
  <si>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</si>
  <si>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</si>
  <si>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</si>
  <si>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</si>
  <si>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</si>
  <si>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</si>
  <si>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</si>
  <si>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</si>
  <si>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Manufacturing</t>
  </si>
  <si>
    <t>P0179</t>
  </si>
  <si>
    <t>P0180</t>
  </si>
  <si>
    <t>P0181</t>
  </si>
  <si>
    <t>50-59</t>
  </si>
  <si>
    <t>Once a day</t>
  </si>
  <si>
    <t>P0182</t>
  </si>
  <si>
    <t>None</t>
  </si>
  <si>
    <t>Health/Family</t>
  </si>
  <si>
    <t>P0183</t>
  </si>
  <si>
    <t>P0184</t>
  </si>
  <si>
    <t>60+</t>
  </si>
  <si>
    <t>Retired</t>
  </si>
  <si>
    <t>Other</t>
  </si>
  <si>
    <t>WhatsApp</t>
  </si>
  <si>
    <t>Family/News</t>
  </si>
  <si>
    <t>P0185</t>
  </si>
  <si>
    <t>P0186</t>
  </si>
  <si>
    <t>Family/Social</t>
  </si>
  <si>
    <t>P0187</t>
  </si>
  <si>
    <t>P0188</t>
  </si>
  <si>
    <t>Family/Religious</t>
  </si>
  <si>
    <t>P0189</t>
  </si>
  <si>
    <t>P0190</t>
  </si>
  <si>
    <t>During morning routine</t>
  </si>
  <si>
    <t>News/Family</t>
  </si>
  <si>
    <t>Excellent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</si>
  <si>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</si>
  <si>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</si>
  <si>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</si>
  <si>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</si>
  <si>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</si>
  <si>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</si>
  <si>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</si>
  <si>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</si>
  <si>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</si>
  <si>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</si>
  <si>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Once a week</t>
  </si>
  <si>
    <t>P0201</t>
  </si>
  <si>
    <t>Zalo</t>
  </si>
  <si>
    <t>Family/Entertainment</t>
  </si>
  <si>
    <t>P0202</t>
  </si>
  <si>
    <t>P0203</t>
  </si>
  <si>
    <t>P0204</t>
  </si>
  <si>
    <t>P0205</t>
  </si>
  <si>
    <t>P0206</t>
  </si>
  <si>
    <t>P0207</t>
  </si>
  <si>
    <t>News/Hobbies</t>
  </si>
  <si>
    <t>P0208</t>
  </si>
  <si>
    <t>Educational/Family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</si>
  <si>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</si>
  <si>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</si>
  <si>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</si>
  <si>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</si>
  <si>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</si>
  <si>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</si>
  <si>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</si>
  <si>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</si>
  <si>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</si>
  <si>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</si>
  <si>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</si>
  <si>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</si>
  <si>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Lifestyle/Family</t>
  </si>
  <si>
    <t>P0221</t>
  </si>
  <si>
    <t>P0222</t>
  </si>
  <si>
    <t>P0223</t>
  </si>
  <si>
    <t>P0224</t>
  </si>
  <si>
    <t>Family/Hobbies</t>
  </si>
  <si>
    <t>P0225</t>
  </si>
  <si>
    <t>P0226</t>
  </si>
  <si>
    <t>P0227</t>
  </si>
  <si>
    <t>P0228</t>
  </si>
  <si>
    <t>P0229</t>
  </si>
  <si>
    <t>Family/Lifestyle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</si>
  <si>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</si>
  <si>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</si>
  <si>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</si>
  <si>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</si>
  <si>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</si>
  <si>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</si>
  <si>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</si>
  <si>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</si>
  <si>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</si>
  <si>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</si>
  <si>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</si>
  <si>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</si>
  <si>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Divorced</t>
  </si>
  <si>
    <t>Gaming/Political content</t>
  </si>
  <si>
    <t>P0242</t>
  </si>
  <si>
    <t>Dopamine rush</t>
  </si>
  <si>
    <t>P0243</t>
  </si>
  <si>
    <t>Non-binary</t>
  </si>
  <si>
    <t>Short video/Creative</t>
  </si>
  <si>
    <t>P0244</t>
  </si>
  <si>
    <t>Job seeker</t>
  </si>
  <si>
    <t>Boredom/Depression</t>
  </si>
  <si>
    <t>P0245</t>
  </si>
  <si>
    <t>Native American</t>
  </si>
  <si>
    <t>Gaming/Short video</t>
  </si>
  <si>
    <t>P0246</t>
  </si>
  <si>
    <t>Self-employed</t>
  </si>
  <si>
    <t>Pinterest</t>
  </si>
  <si>
    <t>Perfectionism</t>
  </si>
  <si>
    <t>P0247</t>
  </si>
  <si>
    <t>News/Tech</t>
  </si>
  <si>
    <t>Overwhelm</t>
  </si>
  <si>
    <t>P0248</t>
  </si>
  <si>
    <t>Very low</t>
  </si>
  <si>
    <t>P0249</t>
  </si>
  <si>
    <t>Gaming/SM combined</t>
  </si>
  <si>
    <t>P0250</t>
  </si>
  <si>
    <t>Health/Social</t>
  </si>
  <si>
    <t>P0251</t>
  </si>
  <si>
    <t>P0252</t>
  </si>
  <si>
    <t>Tech/Gaming</t>
  </si>
  <si>
    <t>P0253</t>
  </si>
  <si>
    <t>Creative/Short video</t>
  </si>
  <si>
    <t>P0254</t>
  </si>
  <si>
    <t>Freelancer</t>
  </si>
  <si>
    <t>Low motivation</t>
  </si>
  <si>
    <t>P0255</t>
  </si>
  <si>
    <t>Short video/Fashion</t>
  </si>
  <si>
    <t>Comparison/Validation</t>
  </si>
  <si>
    <t>P0256</t>
  </si>
  <si>
    <t>P0257</t>
  </si>
  <si>
    <t>Short video/Entertainment</t>
  </si>
  <si>
    <t>P0258</t>
  </si>
  <si>
    <t>P0259</t>
  </si>
  <si>
    <t>P0260</t>
  </si>
  <si>
    <t>P0261</t>
  </si>
  <si>
    <t>P0262</t>
  </si>
  <si>
    <t>P0263</t>
  </si>
  <si>
    <t>P0264</t>
  </si>
  <si>
    <t>Health/Short video</t>
  </si>
  <si>
    <t>P0265</t>
  </si>
  <si>
    <t>Boredom/Anxiety</t>
  </si>
  <si>
    <t>P0266</t>
  </si>
  <si>
    <t>P0267</t>
  </si>
  <si>
    <t>P0268</t>
  </si>
  <si>
    <t>P0269</t>
  </si>
  <si>
    <t>P0270</t>
  </si>
  <si>
    <t>P0271</t>
  </si>
  <si>
    <t>P0272</t>
  </si>
  <si>
    <t>Government/News</t>
  </si>
  <si>
    <t>P0273</t>
  </si>
  <si>
    <t>P0274</t>
  </si>
  <si>
    <t>Short video/Gaming</t>
  </si>
  <si>
    <t>P0275</t>
  </si>
  <si>
    <t>P0276</t>
  </si>
  <si>
    <t>Line</t>
  </si>
  <si>
    <t>P0277</t>
  </si>
  <si>
    <t>Educational/Entertainment</t>
  </si>
  <si>
    <t>P0278</t>
  </si>
  <si>
    <t>P0279</t>
  </si>
  <si>
    <t>P0280</t>
  </si>
  <si>
    <t>P0281</t>
  </si>
  <si>
    <t>P0282</t>
  </si>
  <si>
    <t>Lifestyle/Social</t>
  </si>
  <si>
    <t>P0283</t>
  </si>
  <si>
    <t>Gaming/News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</si>
  <si>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</si>
  <si>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</si>
  <si>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</si>
  <si>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</si>
  <si>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</si>
  <si>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</si>
  <si>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</si>
  <si>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</si>
  <si>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</si>
  <si>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</si>
  <si>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</si>
  <si>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Short video/K-pop</t>
  </si>
  <si>
    <t>P0295</t>
  </si>
  <si>
    <t>P0296</t>
  </si>
  <si>
    <t>P0297</t>
  </si>
  <si>
    <t>Business/Social</t>
  </si>
  <si>
    <t>P0298</t>
  </si>
  <si>
    <t>P0299</t>
  </si>
  <si>
    <t>P0300</t>
  </si>
  <si>
    <t xml:space="preserve">Total No of Participants </t>
  </si>
  <si>
    <t>Average Screen Time Hours</t>
  </si>
  <si>
    <t>Total No of Males</t>
  </si>
  <si>
    <t>Total No of Females</t>
  </si>
  <si>
    <t>Avg Sleep Time Hours</t>
  </si>
  <si>
    <t>Maximum Age of a Participant</t>
  </si>
  <si>
    <t>Minimum age of Participant</t>
  </si>
  <si>
    <t xml:space="preserve">Occpation = Education </t>
  </si>
  <si>
    <t>Full time employed participants</t>
  </si>
  <si>
    <t>Row Labels</t>
  </si>
  <si>
    <t>Grand Total</t>
  </si>
  <si>
    <t>Count of primary_platform</t>
  </si>
  <si>
    <t>Most Used Primary Platform</t>
  </si>
  <si>
    <t>Count of nationality</t>
  </si>
  <si>
    <t>which nationality has more social media addiction</t>
  </si>
  <si>
    <t>Average of sm_addiction_risk_score</t>
  </si>
  <si>
    <t>No of participants per country</t>
  </si>
  <si>
    <t>Count of participant_id</t>
  </si>
  <si>
    <t xml:space="preserve">age group of participants </t>
  </si>
  <si>
    <t xml:space="preserve"> avg_daily_sm_hours</t>
  </si>
  <si>
    <t>Analysis by Formulas</t>
  </si>
  <si>
    <t>Count of Instagram Users</t>
  </si>
  <si>
    <t>Average social Media addiction Risk hours</t>
  </si>
  <si>
    <t>Average Anxiety score when phone unavailable</t>
  </si>
  <si>
    <t>Maximum Restlessness score</t>
  </si>
  <si>
    <t>Social media hours by occupation type and their average social media Hours</t>
  </si>
  <si>
    <t>Distinct Count of Countries Involved</t>
  </si>
  <si>
    <t>Distinct Nations Involved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</si>
</sst>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6287.219143171293" backgroundQuery="1" createdVersion="5" refreshedVersion="5" minRefreshableVersion="3" recordCount="0" supportSubquery="1" supportAdvancedDrill="1">
  <cacheSource type="external" connectionId="1"/>
  <cacheFields count="2">
    <cacheField name="[Table1].[primary_platform].[primary_platform]" caption="primary_platform" numFmtId="0" hierarchy="13" level="1">
      <sharedItems count="9">
        <s v="Douyin/TikTok"/>
        <s v="Facebook"/>
        <s v="Instagram"/>
        <s v="LinkedIn"/>
        <s v="Reddit"/>
        <s v="TikTok"/>
        <s v="Twitter/X"/>
        <s v="WeChat"/>
        <s v="YouTube"/>
      </sharedItems>
    </cacheField>
    <cacheField name="[Measures].[Count of primary_platform]" caption="Count of primary_platform" numFmtId="0" hierarchy="64" level="32767"/>
  </cacheFields>
  <cacheHierarchies count="74">
    <cacheHierarchy uniqueName="[Table1].[participant_id]" caption="participant_id" attribute="1" defaultMemberUniqueName="[Table1].[participant_id].[All]" allUniqueName="[Table1].[participant_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race_ethnicity]" caption="race_ethnicity" attribute="1" defaultMemberUniqueName="[Table1].[race_ethnicity].[All]" allUniqueName="[Table1].[race_ethnicity].[All]" dimensionUniqueName="[Table1]" displayFolder="" count="0" memberValueDatatype="130" unbalanced="0"/>
    <cacheHierarchy uniqueName="[Table1].[nationality]" caption="nationality" attribute="1" defaultMemberUniqueName="[Table1].[nationality].[All]" allUniqueName="[Table1].[nationality].[All]" dimensionUniqueName="[Table1]" displayFolder="" count="0" memberValueDatatype="130" unbalanced="0"/>
    <cacheHierarchy uniqueName="[Table1].[country_of_residence]" caption="country_of_residence" attribute="1" defaultMemberUniqueName="[Table1].[country_of_residence].[All]" allUniqueName="[Table1].[country_of_residence].[All]" dimensionUniqueName="[Table1]" displayFolder="" count="0" memberValueDatatype="130" unbalanced="0"/>
    <cacheHierarchy uniqueName="[Table1].[education_level]" caption="education_level" attribute="1" defaultMemberUniqueName="[Table1].[education_level].[All]" allUniqueName="[Table1].[education_level].[All]" dimensionUniqueName="[Table1]" displayFolder="" count="0" memberValueDatatype="130" unbalanced="0"/>
    <cacheHierarchy uniqueName="[Table1].[employment_status]" caption="employment_status" attribute="1" defaultMemberUniqueName="[Table1].[employment_status].[All]" allUniqueName="[Table1].[employment_status].[All]" dimensionUniqueName="[Table1]" displayFolder="" count="0" memberValueDatatype="130" unbalanced="0"/>
    <cacheHierarchy uniqueName="[Table1].[occupation_category]" caption="occupation_category" attribute="1" defaultMemberUniqueName="[Table1].[occupation_category].[All]" allUniqueName="[Table1].[occupation_category].[All]" dimensionUniqueName="[Table1]" displayFolder="" count="0" memberValueDatatype="130" unbalanced="0"/>
    <cacheHierarchy uniqueName="[Table1].[relationship_status]" caption="relationship_status" attribute="1" defaultMemberUniqueName="[Table1].[relationship_status].[All]" allUniqueName="[Table1].[relationship_status].[All]" dimensionUniqueName="[Table1]" displayFolder="" count="0" memberValueDatatype="130" unbalanced="0"/>
    <cacheHierarchy uniqueName="[Table1].[avg_daily_sm_hours]" caption="avg_daily_sm_hours" attribute="1" defaultMemberUniqueName="[Table1].[avg_daily_sm_hours].[All]" allUniqueName="[Table1].[avg_daily_sm_hours].[All]" dimensionUniqueName="[Table1]" displayFolder="" count="0" memberValueDatatype="5" unbalanced="0"/>
    <cacheHierarchy uniqueName="[Table1].[years_on_social_media]" caption="years_on_social_media" attribute="1" defaultMemberUniqueName="[Table1].[years_on_social_media].[All]" allUniqueName="[Table1].[years_on_social_media].[All]" dimensionUniqueName="[Table1]" displayFolder="" count="0" memberValueDatatype="20" unbalanced="0"/>
    <cacheHierarchy uniqueName="[Table1].[primary_platform]" caption="primary_platform" attribute="1" defaultMemberUniqueName="[Table1].[primary_platform].[All]" allUniqueName="[Table1].[primary_platform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econdary_platform]" caption="secondary_platform" attribute="1" defaultMemberUniqueName="[Table1].[secondary_platform].[All]" allUniqueName="[Table1].[secondary_platform].[All]" dimensionUniqueName="[Table1]" displayFolder="" count="0" memberValueDatatype="130" unbalanced="0"/>
    <cacheHierarchy uniqueName="[Table1].[daily_check_frequency]" caption="daily_check_frequency" attribute="1" defaultMemberUniqueName="[Table1].[daily_check_frequency].[All]" allUniqueName="[Table1].[daily_check_frequency].[All]" dimensionUniqueName="[Table1]" displayFolder="" count="0" memberValueDatatype="130" unbalanced="0"/>
    <cacheHierarchy uniqueName="[Table1].[first_check_of_day]" caption="first_check_of_day" attribute="1" defaultMemberUniqueName="[Table1].[first_check_of_day].[All]" allUniqueName="[Table1].[first_check_of_day].[All]" dimensionUniqueName="[Table1]" displayFolder="" count="0" memberValueDatatype="130" unbalanced="0"/>
    <cacheHierarchy uniqueName="[Table1].[late_night_scrolling]" caption="late_night_scrolling" attribute="1" defaultMemberUniqueName="[Table1].[late_night_scrolling].[All]" allUniqueName="[Table1].[late_night_scrolling].[All]" dimensionUniqueName="[Table1]" displayFolder="" count="0" memberValueDatatype="130" unbalanced="0"/>
    <cacheHierarchy uniqueName="[Table1].[sm_during_work_study]" caption="sm_during_work_study" attribute="1" defaultMemberUniqueName="[Table1].[sm_during_work_study].[All]" allUniqueName="[Table1].[sm_during_work_study].[All]" dimensionUniqueName="[Table1]" displayFolder="" count="0" memberValueDatatype="130" unbalanced="0"/>
    <cacheHierarchy uniqueName="[Table1].[sm_during_meals]" caption="sm_during_meals" attribute="1" defaultMemberUniqueName="[Table1].[sm_during_meals].[All]" allUniqueName="[Table1].[sm_during_meals].[All]" dimensionUniqueName="[Table1]" displayFolder="" count="0" memberValueDatatype="130" unbalanced="0"/>
    <cacheHierarchy uniqueName="[Table1].[notifications_always_on]" caption="notifications_always_on" attribute="1" defaultMemberUniqueName="[Table1].[notifications_always_on].[All]" allUniqueName="[Table1].[notifications_always_on].[All]" dimensionUniqueName="[Table1]" displayFolder="" count="0" memberValueDatatype="130" unbalanced="0"/>
    <cacheHierarchy uniqueName="[Table1].[scroll_without_purpose]" caption="scroll_without_purpose" attribute="1" defaultMemberUniqueName="[Table1].[scroll_without_purpose].[All]" allUniqueName="[Table1].[scroll_without_purpose].[All]" dimensionUniqueName="[Table1]" displayFolder="" count="0" memberValueDatatype="130" unbalanced="0"/>
    <cacheHierarchy uniqueName="[Table1].[doomscrolling_frequency]" caption="doomscrolling_frequency" attribute="1" defaultMemberUniqueName="[Table1].[doomscrolling_frequency].[All]" allUniqueName="[Table1].[doomscrolling_frequency].[All]" dimensionUniqueName="[Table1]" displayFolder="" count="0" memberValueDatatype="130" unbalanced="0"/>
    <cacheHierarchy uniqueName="[Table1].[content_type_consumed]" caption="content_type_consumed" attribute="1" defaultMemberUniqueName="[Table1].[content_type_consumed].[All]" allUniqueName="[Table1].[content_type_consumed].[All]" dimensionUniqueName="[Table1]" displayFolder="" count="0" memberValueDatatype="130" unbalanced="0"/>
    <cacheHierarchy uniqueName="[Table1].[avg_daily_screen_time_hours]" caption="avg_daily_screen_time_hours" attribute="1" defaultMemberUniqueName="[Table1].[avg_daily_screen_time_hours].[All]" allUniqueName="[Table1].[avg_daily_screen_time_hours].[All]" dimensionUniqueName="[Table1]" displayFolder="" count="0" memberValueDatatype="5" unbalanced="0"/>
    <cacheHierarchy uniqueName="[Table1].[avg_sleep_hours]" caption="avg_sleep_hours" attribute="1" defaultMemberUniqueName="[Table1].[avg_sleep_hours].[All]" allUniqueName="[Table1].[avg_sleep_hours].[All]" dimensionUniqueName="[Table1]" displayFolder="" count="0" memberValueDatatype="5" unbalanced="0"/>
    <cacheHierarchy uniqueName="[Table1].[sleep_quality]" caption="sleep_quality" attribute="1" defaultMemberUniqueName="[Table1].[sleep_quality].[All]" allUniqueName="[Table1].[sleep_quality].[All]" dimensionUniqueName="[Table1]" displayFolder="" count="0" memberValueDatatype="130" unbalanced="0"/>
    <cacheHierarchy uniqueName="[Table1].[exercise_frequency]" caption="exercise_frequency" attribute="1" defaultMemberUniqueName="[Table1].[exercise_frequency].[All]" allUniqueName="[Table1].[exercise_frequency].[All]" dimensionUniqueName="[Table1]" displayFolder="" count="0" memberValueDatatype="130" unbalanced="0"/>
    <cacheHierarchy uniqueName="[Table1].[avg_work_study_hours_per_day]" caption="avg_work_study_hours_per_day" attribute="1" defaultMemberUniqueName="[Table1].[avg_work_study_hours_per_day].[All]" allUniqueName="[Table1].[avg_work_study_hours_per_day].[All]" dimensionUniqueName="[Table1]" displayFolder="" count="0" memberValueDatatype="5" unbalanced="0"/>
    <cacheHierarchy uniqueName="[Table1].[dopamine_rush_feel_score]" caption="dopamine_rush_feel_score" attribute="1" defaultMemberUniqueName="[Table1].[dopamine_rush_feel_score].[All]" allUniqueName="[Table1].[dopamine_rush_feel_score].[All]" dimensionUniqueName="[Table1]" displayFolder="" count="0" memberValueDatatype="20" unbalanced="0"/>
    <cacheHierarchy uniqueName="[Table1].[reward_seeking_behavior]" caption="reward_seeking_behavior" attribute="1" defaultMemberUniqueName="[Table1].[reward_seeking_behavior].[All]" allUniqueName="[Table1].[reward_seeking_behavior].[All]" dimensionUniqueName="[Table1]" displayFolder="" count="0" memberValueDatatype="20" unbalanced="0"/>
    <cacheHierarchy uniqueName="[Table1].[fomo_score]" caption="fomo_score" attribute="1" defaultMemberUniqueName="[Table1].[fomo_score].[All]" allUniqueName="[Table1].[fomo_score].[All]" dimensionUniqueName="[Table1]" displayFolder="" count="0" memberValueDatatype="20" unbalanced="0"/>
    <cacheHierarchy uniqueName="[Table1].[comparison_to_others_score]" caption="comparison_to_others_score" attribute="1" defaultMemberUniqueName="[Table1].[comparison_to_others_score].[All]" allUniqueName="[Table1].[comparison_to_others_score].[All]" dimensionUniqueName="[Table1]" displayFolder="" count="0" memberValueDatatype="20" unbalanced="0"/>
    <cacheHierarchy uniqueName="[Table1].[validation_seeking_score]" caption="validation_seeking_score" attribute="1" defaultMemberUniqueName="[Table1].[validation_seeking_score].[All]" allUniqueName="[Table1].[validation_seeking_score].[All]" dimensionUniqueName="[Table1]" displayFolder="" count="0" memberValueDatatype="20" unbalanced="0"/>
    <cacheHierarchy uniqueName="[Table1].[boredom_to_phone_reflex]" caption="boredom_to_phone_reflex" attribute="1" defaultMemberUniqueName="[Table1].[boredom_to_phone_reflex].[All]" allUniqueName="[Table1].[boredom_to_phone_reflex].[All]" dimensionUniqueName="[Table1]" displayFolder="" count="0" memberValueDatatype="130" unbalanced="0"/>
    <cacheHierarchy uniqueName="[Table1].[inability_to_delay_gratification]" caption="inability_to_delay_gratification" attribute="1" defaultMemberUniqueName="[Table1].[inability_to_delay_gratification].[All]" allUniqueName="[Table1].[inability_to_delay_gratification].[All]" dimensionUniqueName="[Table1]" displayFolder="" count="0" memberValueDatatype="130" unbalanced="0"/>
    <cacheHierarchy uniqueName="[Table1].[attention_span_minutes]" caption="attention_span_minutes" attribute="1" defaultMemberUniqueName="[Table1].[attention_span_minutes].[All]" allUniqueName="[Table1].[attention_span_minutes].[All]" dimensionUniqueName="[Table1]" displayFolder="" count="0" memberValueDatatype="20" unbalanced="0"/>
    <cacheHierarchy uniqueName="[Table1].[deep_work_duration_minutes]" caption="deep_work_duration_minutes" attribute="1" defaultMemberUniqueName="[Table1].[deep_work_duration_minutes].[All]" allUniqueName="[Table1].[deep_work_duration_minutes].[All]" dimensionUniqueName="[Table1]" displayFolder="" count="0" memberValueDatatype="20" unbalanced="0"/>
    <cacheHierarchy uniqueName="[Table1].[task_switching_frequency]" caption="task_switching_frequency" attribute="1" defaultMemberUniqueName="[Table1].[task_switching_frequency].[All]" allUniqueName="[Table1].[task_switching_frequency].[All]" dimensionUniqueName="[Table1]" displayFolder="" count="0" memberValueDatatype="130" unbalanced="0"/>
    <cacheHierarchy uniqueName="[Table1].[difficulty_starting_tasks]" caption="difficulty_starting_tasks" attribute="1" defaultMemberUniqueName="[Table1].[difficulty_starting_tasks].[All]" allUniqueName="[Table1].[difficulty_starting_tasks].[All]" dimensionUniqueName="[Table1]" displayFolder="" count="0" memberValueDatatype="130" unbalanced="0"/>
    <cacheHierarchy uniqueName="[Table1].[difficulty_maintaining_focus]" caption="difficulty_maintaining_focus" attribute="1" defaultMemberUniqueName="[Table1].[difficulty_maintaining_focus].[All]" allUniqueName="[Table1].[difficulty_maintaining_focus].[All]" dimensionUniqueName="[Table1]" displayFolder="" count="0" memberValueDatatype="130" unbalanced="0"/>
    <cacheHierarchy uniqueName="[Table1].[mind_wandering_during_work]" caption="mind_wandering_during_work" attribute="1" defaultMemberUniqueName="[Table1].[mind_wandering_during_work].[All]" allUniqueName="[Table1].[mind_wandering_during_work].[All]" dimensionUniqueName="[Table1]" displayFolder="" count="0" memberValueDatatype="130" unbalanced="0"/>
    <cacheHierarchy uniqueName="[Table1].[productivity_self_rating]" caption="productivity_self_rating" attribute="1" defaultMemberUniqueName="[Table1].[productivity_self_rating].[All]" allUniqueName="[Table1].[productivity_self_rating].[All]" dimensionUniqueName="[Table1]" displayFolder="" count="0" memberValueDatatype="20" unbalanced="0"/>
    <cacheHierarchy uniqueName="[Table1].[tasks_completed_per_day]" caption="tasks_completed_per_day" attribute="1" defaultMemberUniqueName="[Table1].[tasks_completed_per_day].[All]" allUniqueName="[Table1].[tasks_completed_per_day].[All]" dimensionUniqueName="[Table1]" displayFolder="" count="0" memberValueDatatype="20" unbalanced="0"/>
    <cacheHierarchy uniqueName="[Table1].[work_quality_self_rating]" caption="work_quality_self_rating" attribute="1" defaultMemberUniqueName="[Table1].[work_quality_self_rating].[All]" allUniqueName="[Table1].[work_quality_self_rating].[All]" dimensionUniqueName="[Table1]" displayFolder="" count="0" memberValueDatatype="20" unbalanced="0"/>
    <cacheHierarchy uniqueName="[Table1].[creative_output_frequency]" caption="creative_output_frequency" attribute="1" defaultMemberUniqueName="[Table1].[creative_output_frequency].[All]" allUniqueName="[Table1].[creative_output_frequency].[All]" dimensionUniqueName="[Table1]" displayFolder="" count="0" memberValueDatatype="130" unbalanced="0"/>
    <cacheHierarchy uniqueName="[Table1].[reading_duration_minutes_per_day]" caption="reading_duration_minutes_per_day" attribute="1" defaultMemberUniqueName="[Table1].[reading_duration_minutes_per_day].[All]" allUniqueName="[Table1].[reading_duration_minutes_per_day].[All]" dimensionUniqueName="[Table1]" displayFolder="" count="0" memberValueDatatype="20" unbalanced="0"/>
    <cacheHierarchy uniqueName="[Table1].[memory_recall_difficulty]" caption="memory_recall_difficulty" attribute="1" defaultMemberUniqueName="[Table1].[memory_recall_difficulty].[All]" allUniqueName="[Table1].[memory_recall_difficulty].[All]" dimensionUniqueName="[Table1]" displayFolder="" count="0" memberValueDatatype="130" unbalanced="0"/>
    <cacheHierarchy uniqueName="[Table1].[learning_retention_difficulty]" caption="learning_retention_difficulty" attribute="1" defaultMemberUniqueName="[Table1].[learning_retention_difficulty].[All]" allUniqueName="[Table1].[learning_retention_difficulty].[All]" dimensionUniqueName="[Table1]" displayFolder="" count="0" memberValueDatatype="130" unbalanced="0"/>
    <cacheHierarchy uniqueName="[Table1].[decision_fatigue_score]" caption="decision_fatigue_score" attribute="1" defaultMemberUniqueName="[Table1].[decision_fatigue_score].[All]" allUniqueName="[Table1].[decision_fatigue_score].[All]" dimensionUniqueName="[Table1]" displayFolder="" count="0" memberValueDatatype="20" unbalanced="0"/>
    <cacheHierarchy uniqueName="[Table1].[mental_fog_frequency]" caption="mental_fog_frequency" attribute="1" defaultMemberUniqueName="[Table1].[mental_fog_frequency].[All]" allUniqueName="[Table1].[mental_fog_frequency].[All]" dimensionUniqueName="[Table1]" displayFolder="" count="0" memberValueDatatype="130" unbalanced="0"/>
    <cacheHierarchy uniqueName="[Table1].[irritability_when_offline]" caption="irritability_when_offline" attribute="1" defaultMemberUniqueName="[Table1].[irritability_when_offline].[All]" allUniqueName="[Table1].[irritability_when_offline].[All]" dimensionUniqueName="[Table1]" displayFolder="" count="0" memberValueDatatype="130" unbalanced="0"/>
    <cacheHierarchy uniqueName="[Table1].[anxiety_when_phone_unavailable]" caption="anxiety_when_phone_unavailable" attribute="1" defaultMemberUniqueName="[Table1].[anxiety_when_phone_unavailable].[All]" allUniqueName="[Table1].[anxiety_when_phone_unavailable].[All]" dimensionUniqueName="[Table1]" displayFolder="" count="0" memberValueDatatype="20" unbalanced="0"/>
    <cacheHierarchy uniqueName="[Table1].[restlessness_score]" caption="restlessness_score" attribute="1" defaultMemberUniqueName="[Table1].[restlessness_score].[All]" allUniqueName="[Table1].[restlessness_score].[All]" dimensionUniqueName="[Table1]" displayFolder="" count="0" memberValueDatatype="20" unbalanced="0"/>
    <cacheHierarchy uniqueName="[Table1].[mood_dependency_on_sm]" caption="mood_dependency_on_sm" attribute="1" defaultMemberUniqueName="[Table1].[mood_dependency_on_sm].[All]" allUniqueName="[Table1].[mood_dependency_on_sm].[All]" dimensionUniqueName="[Table1]" displayFolder="" count="0" memberValueDatatype="130" unbalanced="0"/>
    <cacheHierarchy uniqueName="[Table1].[withdrawal_attempt_count]" caption="withdrawal_attempt_count" attribute="1" defaultMemberUniqueName="[Table1].[withdrawal_attempt_count].[All]" allUniqueName="[Table1].[withdrawal_attempt_count].[All]" dimensionUniqueName="[Table1]" displayFolder="" count="0" memberValueDatatype="20" unbalanced="0"/>
    <cacheHierarchy uniqueName="[Table1].[longest_detox_days]" caption="longest_detox_days" attribute="1" defaultMemberUniqueName="[Table1].[longest_detox_days].[All]" allUniqueName="[Table1].[longest_detox_days].[All]" dimensionUniqueName="[Table1]" displayFolder="" count="0" memberValueDatatype="20" unbalanced="0"/>
    <cacheHierarchy uniqueName="[Table1].[detox_relapse_reason]" caption="detox_relapse_reason" attribute="1" defaultMemberUniqueName="[Table1].[detox_relapse_reason].[All]" allUniqueName="[Table1].[detox_relapse_reason].[All]" dimensionUniqueName="[Table1]" displayFolder="" count="0" memberValueDatatype="20" unbalanced="0"/>
    <cacheHierarchy uniqueName="[Table1].[severity_stage]" caption="severity_stage" attribute="1" defaultMemberUniqueName="[Table1].[severity_stage].[All]" allUniqueName="[Table1].[severity_stage].[All]" dimensionUniqueName="[Table1]" displayFolder="" count="0" memberValueDatatype="130" unbalanced="0"/>
    <cacheHierarchy uniqueName="[Table1].[productivity_decline_score]" caption="productivity_decline_score" attribute="1" defaultMemberUniqueName="[Table1].[productivity_decline_score].[All]" allUniqueName="[Table1].[productivity_decline_score].[All]" dimensionUniqueName="[Table1]" displayFolder="" count="0" memberValueDatatype="130" unbalanced="0"/>
    <cacheHierarchy uniqueName="[Table1].[dopamine_dysregulation_index]" caption="dopamine_dysregulation_index" attribute="1" defaultMemberUniqueName="[Table1].[dopamine_dysregulation_index].[All]" allUniqueName="[Table1].[dopamine_dysregulation_index].[All]" dimensionUniqueName="[Table1]" displayFolder="" count="0" memberValueDatatype="5" unbalanced="0"/>
    <cacheHierarchy uniqueName="[Table1].[digital_wellbeing_score]" caption="digital_wellbeing_score" attribute="1" defaultMemberUniqueName="[Table1].[digital_wellbeing_score].[All]" allUniqueName="[Table1].[digital_wellbeing_score].[All]" dimensionUniqueName="[Table1]" displayFolder="" count="0" memberValueDatatype="5" unbalanced="0"/>
    <cacheHierarchy uniqueName="[Table1].[sm_addiction_risk_score]" caption="sm_addiction_risk_score" attribute="1" defaultMemberUniqueName="[Table1].[sm_addiction_risk_score].[All]" allUniqueName="[Table1].[sm_addiction_risk_score].[All]" dimensionUniqueName="[Table1]" displayFolder="" count="0" memberValueDatatype="5" unbalanced="0"/>
    <cacheHierarchy uniqueName="[Table1].[notes]" caption="notes" attribute="1" defaultMemberUniqueName="[Table1].[notes].[All]" allUniqueName="[Table1].[notes].[All]" dimensionUniqueName="[Table1]" displayFolder="" count="0" memberValueDatatype="5" unbalanced="0"/>
    <cacheHierarchy uniqueName="[Measures].[Count of primary_platform]" caption="Count of primary_platform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tionality]" caption="Count of nationality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_addiction_risk_score]" caption="Sum of sm_addiction_risk_score" measure="1" displayFolder="" measureGroup="Table1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sm_addiction_risk_score]" caption="Average of sm_addiction_risk_score" measure="1" displayFolder="" measureGroup="Table1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participant_id]" caption="Count of participant_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g_daily_sm_hours]" caption="Sum of avg_daily_sm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avg_daily_sm_hours]" caption="Average of avg_daily_sm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6287.225607175926" backgroundQuery="1" createdVersion="5" refreshedVersion="5" minRefreshableVersion="3" recordCount="0" supportSubquery="1" supportAdvancedDrill="1">
  <cacheSource type="external" connectionId="1"/>
  <cacheFields count="2">
    <cacheField name="[Table1].[nationality].[nationality]" caption="nationality" numFmtId="0" hierarchy="5" level="1">
      <sharedItems count="39">
        <s v="American"/>
        <s v="Argentinian"/>
        <s v="Australian"/>
        <s v="Bangladeshi"/>
        <s v="Brazilian"/>
        <s v="British"/>
        <s v="Cameroonian"/>
        <s v="Canadian"/>
        <s v="Chinese"/>
        <s v="Colombian"/>
        <s v="Egyptian"/>
        <s v="Ethiopian"/>
        <s v="Filipino"/>
        <s v="French"/>
        <s v="German"/>
        <s v="Ghanaian"/>
        <s v="Indian"/>
        <s v="Indonesian"/>
        <s v="Iranian"/>
        <s v="Japanese"/>
        <s v="Kenyan"/>
        <s v="Lebanese"/>
        <s v="Malaysian"/>
        <s v="Mexican"/>
        <s v="Nepali"/>
        <s v="Nigerian"/>
        <s v="Pakistani"/>
        <s v="Peruvian"/>
        <s v="Saudi"/>
        <s v="Senegalese"/>
        <s v="South African"/>
        <s v="South Korean"/>
        <s v="Spanish"/>
        <s v="Sri Lankan"/>
        <s v="Thai"/>
        <s v="Turkish"/>
        <s v="Venezuelan"/>
        <s v="Vietnamese"/>
        <s v="Zimbabwean"/>
      </sharedItems>
    </cacheField>
    <cacheField name="[Measures].[Average of sm_addiction_risk_score]" caption="Average of sm_addiction_risk_score" numFmtId="0" hierarchy="68" level="32767"/>
  </cacheFields>
  <cacheHierarchies count="74">
    <cacheHierarchy uniqueName="[Table1].[participant_id]" caption="participant_id" attribute="1" defaultMemberUniqueName="[Table1].[participant_id].[All]" allUniqueName="[Table1].[participant_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race_ethnicity]" caption="race_ethnicity" attribute="1" defaultMemberUniqueName="[Table1].[race_ethnicity].[All]" allUniqueName="[Table1].[race_ethnicity].[All]" dimensionUniqueName="[Table1]" displayFolder="" count="0" memberValueDatatype="130" unbalanced="0"/>
    <cacheHierarchy uniqueName="[Table1].[nationality]" caption="nationality" attribute="1" defaultMemberUniqueName="[Table1].[nationality].[All]" allUniqueName="[Table1].[nationalit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ountry_of_residence]" caption="country_of_residence" attribute="1" defaultMemberUniqueName="[Table1].[country_of_residence].[All]" allUniqueName="[Table1].[country_of_residence].[All]" dimensionUniqueName="[Table1]" displayFolder="" count="0" memberValueDatatype="130" unbalanced="0"/>
    <cacheHierarchy uniqueName="[Table1].[education_level]" caption="education_level" attribute="1" defaultMemberUniqueName="[Table1].[education_level].[All]" allUniqueName="[Table1].[education_level].[All]" dimensionUniqueName="[Table1]" displayFolder="" count="0" memberValueDatatype="130" unbalanced="0"/>
    <cacheHierarchy uniqueName="[Table1].[employment_status]" caption="employment_status" attribute="1" defaultMemberUniqueName="[Table1].[employment_status].[All]" allUniqueName="[Table1].[employment_status].[All]" dimensionUniqueName="[Table1]" displayFolder="" count="0" memberValueDatatype="130" unbalanced="0"/>
    <cacheHierarchy uniqueName="[Table1].[occupation_category]" caption="occupation_category" attribute="1" defaultMemberUniqueName="[Table1].[occupation_category].[All]" allUniqueName="[Table1].[occupation_category].[All]" dimensionUniqueName="[Table1]" displayFolder="" count="0" memberValueDatatype="130" unbalanced="0"/>
    <cacheHierarchy uniqueName="[Table1].[relationship_status]" caption="relationship_status" attribute="1" defaultMemberUniqueName="[Table1].[relationship_status].[All]" allUniqueName="[Table1].[relationship_status].[All]" dimensionUniqueName="[Table1]" displayFolder="" count="0" memberValueDatatype="130" unbalanced="0"/>
    <cacheHierarchy uniqueName="[Table1].[avg_daily_sm_hours]" caption="avg_daily_sm_hours" attribute="1" defaultMemberUniqueName="[Table1].[avg_daily_sm_hours].[All]" allUniqueName="[Table1].[avg_daily_sm_hours].[All]" dimensionUniqueName="[Table1]" displayFolder="" count="0" memberValueDatatype="5" unbalanced="0"/>
    <cacheHierarchy uniqueName="[Table1].[years_on_social_media]" caption="years_on_social_media" attribute="1" defaultMemberUniqueName="[Table1].[years_on_social_media].[All]" allUniqueName="[Table1].[years_on_social_media].[All]" dimensionUniqueName="[Table1]" displayFolder="" count="0" memberValueDatatype="20" unbalanced="0"/>
    <cacheHierarchy uniqueName="[Table1].[primary_platform]" caption="primary_platform" attribute="1" defaultMemberUniqueName="[Table1].[primary_platform].[All]" allUniqueName="[Table1].[primary_platform].[All]" dimensionUniqueName="[Table1]" displayFolder="" count="0" memberValueDatatype="130" unbalanced="0"/>
    <cacheHierarchy uniqueName="[Table1].[secondary_platform]" caption="secondary_platform" attribute="1" defaultMemberUniqueName="[Table1].[secondary_platform].[All]" allUniqueName="[Table1].[secondary_platform].[All]" dimensionUniqueName="[Table1]" displayFolder="" count="0" memberValueDatatype="130" unbalanced="0"/>
    <cacheHierarchy uniqueName="[Table1].[daily_check_frequency]" caption="daily_check_frequency" attribute="1" defaultMemberUniqueName="[Table1].[daily_check_frequency].[All]" allUniqueName="[Table1].[daily_check_frequency].[All]" dimensionUniqueName="[Table1]" displayFolder="" count="0" memberValueDatatype="130" unbalanced="0"/>
    <cacheHierarchy uniqueName="[Table1].[first_check_of_day]" caption="first_check_of_day" attribute="1" defaultMemberUniqueName="[Table1].[first_check_of_day].[All]" allUniqueName="[Table1].[first_check_of_day].[All]" dimensionUniqueName="[Table1]" displayFolder="" count="0" memberValueDatatype="130" unbalanced="0"/>
    <cacheHierarchy uniqueName="[Table1].[late_night_scrolling]" caption="late_night_scrolling" attribute="1" defaultMemberUniqueName="[Table1].[late_night_scrolling].[All]" allUniqueName="[Table1].[late_night_scrolling].[All]" dimensionUniqueName="[Table1]" displayFolder="" count="0" memberValueDatatype="130" unbalanced="0"/>
    <cacheHierarchy uniqueName="[Table1].[sm_during_work_study]" caption="sm_during_work_study" attribute="1" defaultMemberUniqueName="[Table1].[sm_during_work_study].[All]" allUniqueName="[Table1].[sm_during_work_study].[All]" dimensionUniqueName="[Table1]" displayFolder="" count="0" memberValueDatatype="130" unbalanced="0"/>
    <cacheHierarchy uniqueName="[Table1].[sm_during_meals]" caption="sm_during_meals" attribute="1" defaultMemberUniqueName="[Table1].[sm_during_meals].[All]" allUniqueName="[Table1].[sm_during_meals].[All]" dimensionUniqueName="[Table1]" displayFolder="" count="0" memberValueDatatype="130" unbalanced="0"/>
    <cacheHierarchy uniqueName="[Table1].[notifications_always_on]" caption="notifications_always_on" attribute="1" defaultMemberUniqueName="[Table1].[notifications_always_on].[All]" allUniqueName="[Table1].[notifications_always_on].[All]" dimensionUniqueName="[Table1]" displayFolder="" count="0" memberValueDatatype="130" unbalanced="0"/>
    <cacheHierarchy uniqueName="[Table1].[scroll_without_purpose]" caption="scroll_without_purpose" attribute="1" defaultMemberUniqueName="[Table1].[scroll_without_purpose].[All]" allUniqueName="[Table1].[scroll_without_purpose].[All]" dimensionUniqueName="[Table1]" displayFolder="" count="0" memberValueDatatype="130" unbalanced="0"/>
    <cacheHierarchy uniqueName="[Table1].[doomscrolling_frequency]" caption="doomscrolling_frequency" attribute="1" defaultMemberUniqueName="[Table1].[doomscrolling_frequency].[All]" allUniqueName="[Table1].[doomscrolling_frequency].[All]" dimensionUniqueName="[Table1]" displayFolder="" count="0" memberValueDatatype="130" unbalanced="0"/>
    <cacheHierarchy uniqueName="[Table1].[content_type_consumed]" caption="content_type_consumed" attribute="1" defaultMemberUniqueName="[Table1].[content_type_consumed].[All]" allUniqueName="[Table1].[content_type_consumed].[All]" dimensionUniqueName="[Table1]" displayFolder="" count="0" memberValueDatatype="130" unbalanced="0"/>
    <cacheHierarchy uniqueName="[Table1].[avg_daily_screen_time_hours]" caption="avg_daily_screen_time_hours" attribute="1" defaultMemberUniqueName="[Table1].[avg_daily_screen_time_hours].[All]" allUniqueName="[Table1].[avg_daily_screen_time_hours].[All]" dimensionUniqueName="[Table1]" displayFolder="" count="0" memberValueDatatype="5" unbalanced="0"/>
    <cacheHierarchy uniqueName="[Table1].[avg_sleep_hours]" caption="avg_sleep_hours" attribute="1" defaultMemberUniqueName="[Table1].[avg_sleep_hours].[All]" allUniqueName="[Table1].[avg_sleep_hours].[All]" dimensionUniqueName="[Table1]" displayFolder="" count="0" memberValueDatatype="5" unbalanced="0"/>
    <cacheHierarchy uniqueName="[Table1].[sleep_quality]" caption="sleep_quality" attribute="1" defaultMemberUniqueName="[Table1].[sleep_quality].[All]" allUniqueName="[Table1].[sleep_quality].[All]" dimensionUniqueName="[Table1]" displayFolder="" count="0" memberValueDatatype="130" unbalanced="0"/>
    <cacheHierarchy uniqueName="[Table1].[exercise_frequency]" caption="exercise_frequency" attribute="1" defaultMemberUniqueName="[Table1].[exercise_frequency].[All]" allUniqueName="[Table1].[exercise_frequency].[All]" dimensionUniqueName="[Table1]" displayFolder="" count="0" memberValueDatatype="130" unbalanced="0"/>
    <cacheHierarchy uniqueName="[Table1].[avg_work_study_hours_per_day]" caption="avg_work_study_hours_per_day" attribute="1" defaultMemberUniqueName="[Table1].[avg_work_study_hours_per_day].[All]" allUniqueName="[Table1].[avg_work_study_hours_per_day].[All]" dimensionUniqueName="[Table1]" displayFolder="" count="0" memberValueDatatype="5" unbalanced="0"/>
    <cacheHierarchy uniqueName="[Table1].[dopamine_rush_feel_score]" caption="dopamine_rush_feel_score" attribute="1" defaultMemberUniqueName="[Table1].[dopamine_rush_feel_score].[All]" allUniqueName="[Table1].[dopamine_rush_feel_score].[All]" dimensionUniqueName="[Table1]" displayFolder="" count="0" memberValueDatatype="20" unbalanced="0"/>
    <cacheHierarchy uniqueName="[Table1].[reward_seeking_behavior]" caption="reward_seeking_behavior" attribute="1" defaultMemberUniqueName="[Table1].[reward_seeking_behavior].[All]" allUniqueName="[Table1].[reward_seeking_behavior].[All]" dimensionUniqueName="[Table1]" displayFolder="" count="0" memberValueDatatype="20" unbalanced="0"/>
    <cacheHierarchy uniqueName="[Table1].[fomo_score]" caption="fomo_score" attribute="1" defaultMemberUniqueName="[Table1].[fomo_score].[All]" allUniqueName="[Table1].[fomo_score].[All]" dimensionUniqueName="[Table1]" displayFolder="" count="0" memberValueDatatype="20" unbalanced="0"/>
    <cacheHierarchy uniqueName="[Table1].[comparison_to_others_score]" caption="comparison_to_others_score" attribute="1" defaultMemberUniqueName="[Table1].[comparison_to_others_score].[All]" allUniqueName="[Table1].[comparison_to_others_score].[All]" dimensionUniqueName="[Table1]" displayFolder="" count="0" memberValueDatatype="20" unbalanced="0"/>
    <cacheHierarchy uniqueName="[Table1].[validation_seeking_score]" caption="validation_seeking_score" attribute="1" defaultMemberUniqueName="[Table1].[validation_seeking_score].[All]" allUniqueName="[Table1].[validation_seeking_score].[All]" dimensionUniqueName="[Table1]" displayFolder="" count="0" memberValueDatatype="20" unbalanced="0"/>
    <cacheHierarchy uniqueName="[Table1].[boredom_to_phone_reflex]" caption="boredom_to_phone_reflex" attribute="1" defaultMemberUniqueName="[Table1].[boredom_to_phone_reflex].[All]" allUniqueName="[Table1].[boredom_to_phone_reflex].[All]" dimensionUniqueName="[Table1]" displayFolder="" count="0" memberValueDatatype="130" unbalanced="0"/>
    <cacheHierarchy uniqueName="[Table1].[inability_to_delay_gratification]" caption="inability_to_delay_gratification" attribute="1" defaultMemberUniqueName="[Table1].[inability_to_delay_gratification].[All]" allUniqueName="[Table1].[inability_to_delay_gratification].[All]" dimensionUniqueName="[Table1]" displayFolder="" count="0" memberValueDatatype="130" unbalanced="0"/>
    <cacheHierarchy uniqueName="[Table1].[attention_span_minutes]" caption="attention_span_minutes" attribute="1" defaultMemberUniqueName="[Table1].[attention_span_minutes].[All]" allUniqueName="[Table1].[attention_span_minutes].[All]" dimensionUniqueName="[Table1]" displayFolder="" count="0" memberValueDatatype="20" unbalanced="0"/>
    <cacheHierarchy uniqueName="[Table1].[deep_work_duration_minutes]" caption="deep_work_duration_minutes" attribute="1" defaultMemberUniqueName="[Table1].[deep_work_duration_minutes].[All]" allUniqueName="[Table1].[deep_work_duration_minutes].[All]" dimensionUniqueName="[Table1]" displayFolder="" count="0" memberValueDatatype="20" unbalanced="0"/>
    <cacheHierarchy uniqueName="[Table1].[task_switching_frequency]" caption="task_switching_frequency" attribute="1" defaultMemberUniqueName="[Table1].[task_switching_frequency].[All]" allUniqueName="[Table1].[task_switching_frequency].[All]" dimensionUniqueName="[Table1]" displayFolder="" count="0" memberValueDatatype="130" unbalanced="0"/>
    <cacheHierarchy uniqueName="[Table1].[difficulty_starting_tasks]" caption="difficulty_starting_tasks" attribute="1" defaultMemberUniqueName="[Table1].[difficulty_starting_tasks].[All]" allUniqueName="[Table1].[difficulty_starting_tasks].[All]" dimensionUniqueName="[Table1]" displayFolder="" count="0" memberValueDatatype="130" unbalanced="0"/>
    <cacheHierarchy uniqueName="[Table1].[difficulty_maintaining_focus]" caption="difficulty_maintaining_focus" attribute="1" defaultMemberUniqueName="[Table1].[difficulty_maintaining_focus].[All]" allUniqueName="[Table1].[difficulty_maintaining_focus].[All]" dimensionUniqueName="[Table1]" displayFolder="" count="0" memberValueDatatype="130" unbalanced="0"/>
    <cacheHierarchy uniqueName="[Table1].[mind_wandering_during_work]" caption="mind_wandering_during_work" attribute="1" defaultMemberUniqueName="[Table1].[mind_wandering_during_work].[All]" allUniqueName="[Table1].[mind_wandering_during_work].[All]" dimensionUniqueName="[Table1]" displayFolder="" count="0" memberValueDatatype="130" unbalanced="0"/>
    <cacheHierarchy uniqueName="[Table1].[productivity_self_rating]" caption="productivity_self_rating" attribute="1" defaultMemberUniqueName="[Table1].[productivity_self_rating].[All]" allUniqueName="[Table1].[productivity_self_rating].[All]" dimensionUniqueName="[Table1]" displayFolder="" count="0" memberValueDatatype="20" unbalanced="0"/>
    <cacheHierarchy uniqueName="[Table1].[tasks_completed_per_day]" caption="tasks_completed_per_day" attribute="1" defaultMemberUniqueName="[Table1].[tasks_completed_per_day].[All]" allUniqueName="[Table1].[tasks_completed_per_day].[All]" dimensionUniqueName="[Table1]" displayFolder="" count="0" memberValueDatatype="20" unbalanced="0"/>
    <cacheHierarchy uniqueName="[Table1].[work_quality_self_rating]" caption="work_quality_self_rating" attribute="1" defaultMemberUniqueName="[Table1].[work_quality_self_rating].[All]" allUniqueName="[Table1].[work_quality_self_rating].[All]" dimensionUniqueName="[Table1]" displayFolder="" count="0" memberValueDatatype="20" unbalanced="0"/>
    <cacheHierarchy uniqueName="[Table1].[creative_output_frequency]" caption="creative_output_frequency" attribute="1" defaultMemberUniqueName="[Table1].[creative_output_frequency].[All]" allUniqueName="[Table1].[creative_output_frequency].[All]" dimensionUniqueName="[Table1]" displayFolder="" count="0" memberValueDatatype="130" unbalanced="0"/>
    <cacheHierarchy uniqueName="[Table1].[reading_duration_minutes_per_day]" caption="reading_duration_minutes_per_day" attribute="1" defaultMemberUniqueName="[Table1].[reading_duration_minutes_per_day].[All]" allUniqueName="[Table1].[reading_duration_minutes_per_day].[All]" dimensionUniqueName="[Table1]" displayFolder="" count="0" memberValueDatatype="20" unbalanced="0"/>
    <cacheHierarchy uniqueName="[Table1].[memory_recall_difficulty]" caption="memory_recall_difficulty" attribute="1" defaultMemberUniqueName="[Table1].[memory_recall_difficulty].[All]" allUniqueName="[Table1].[memory_recall_difficulty].[All]" dimensionUniqueName="[Table1]" displayFolder="" count="0" memberValueDatatype="130" unbalanced="0"/>
    <cacheHierarchy uniqueName="[Table1].[learning_retention_difficulty]" caption="learning_retention_difficulty" attribute="1" defaultMemberUniqueName="[Table1].[learning_retention_difficulty].[All]" allUniqueName="[Table1].[learning_retention_difficulty].[All]" dimensionUniqueName="[Table1]" displayFolder="" count="0" memberValueDatatype="130" unbalanced="0"/>
    <cacheHierarchy uniqueName="[Table1].[decision_fatigue_score]" caption="decision_fatigue_score" attribute="1" defaultMemberUniqueName="[Table1].[decision_fatigue_score].[All]" allUniqueName="[Table1].[decision_fatigue_score].[All]" dimensionUniqueName="[Table1]" displayFolder="" count="0" memberValueDatatype="20" unbalanced="0"/>
    <cacheHierarchy uniqueName="[Table1].[mental_fog_frequency]" caption="mental_fog_frequency" attribute="1" defaultMemberUniqueName="[Table1].[mental_fog_frequency].[All]" allUniqueName="[Table1].[mental_fog_frequency].[All]" dimensionUniqueName="[Table1]" displayFolder="" count="0" memberValueDatatype="130" unbalanced="0"/>
    <cacheHierarchy uniqueName="[Table1].[irritability_when_offline]" caption="irritability_when_offline" attribute="1" defaultMemberUniqueName="[Table1].[irritability_when_offline].[All]" allUniqueName="[Table1].[irritability_when_offline].[All]" dimensionUniqueName="[Table1]" displayFolder="" count="0" memberValueDatatype="130" unbalanced="0"/>
    <cacheHierarchy uniqueName="[Table1].[anxiety_when_phone_unavailable]" caption="anxiety_when_phone_unavailable" attribute="1" defaultMemberUniqueName="[Table1].[anxiety_when_phone_unavailable].[All]" allUniqueName="[Table1].[anxiety_when_phone_unavailable].[All]" dimensionUniqueName="[Table1]" displayFolder="" count="0" memberValueDatatype="20" unbalanced="0"/>
    <cacheHierarchy uniqueName="[Table1].[restlessness_score]" caption="restlessness_score" attribute="1" defaultMemberUniqueName="[Table1].[restlessness_score].[All]" allUniqueName="[Table1].[restlessness_score].[All]" dimensionUniqueName="[Table1]" displayFolder="" count="0" memberValueDatatype="20" unbalanced="0"/>
    <cacheHierarchy uniqueName="[Table1].[mood_dependency_on_sm]" caption="mood_dependency_on_sm" attribute="1" defaultMemberUniqueName="[Table1].[mood_dependency_on_sm].[All]" allUniqueName="[Table1].[mood_dependency_on_sm].[All]" dimensionUniqueName="[Table1]" displayFolder="" count="0" memberValueDatatype="130" unbalanced="0"/>
    <cacheHierarchy uniqueName="[Table1].[withdrawal_attempt_count]" caption="withdrawal_attempt_count" attribute="1" defaultMemberUniqueName="[Table1].[withdrawal_attempt_count].[All]" allUniqueName="[Table1].[withdrawal_attempt_count].[All]" dimensionUniqueName="[Table1]" displayFolder="" count="0" memberValueDatatype="20" unbalanced="0"/>
    <cacheHierarchy uniqueName="[Table1].[longest_detox_days]" caption="longest_detox_days" attribute="1" defaultMemberUniqueName="[Table1].[longest_detox_days].[All]" allUniqueName="[Table1].[longest_detox_days].[All]" dimensionUniqueName="[Table1]" displayFolder="" count="0" memberValueDatatype="20" unbalanced="0"/>
    <cacheHierarchy uniqueName="[Table1].[detox_relapse_reason]" caption="detox_relapse_reason" attribute="1" defaultMemberUniqueName="[Table1].[detox_relapse_reason].[All]" allUniqueName="[Table1].[detox_relapse_reason].[All]" dimensionUniqueName="[Table1]" displayFolder="" count="0" memberValueDatatype="20" unbalanced="0"/>
    <cacheHierarchy uniqueName="[Table1].[severity_stage]" caption="severity_stage" attribute="1" defaultMemberUniqueName="[Table1].[severity_stage].[All]" allUniqueName="[Table1].[severity_stage].[All]" dimensionUniqueName="[Table1]" displayFolder="" count="0" memberValueDatatype="130" unbalanced="0"/>
    <cacheHierarchy uniqueName="[Table1].[productivity_decline_score]" caption="productivity_decline_score" attribute="1" defaultMemberUniqueName="[Table1].[productivity_decline_score].[All]" allUniqueName="[Table1].[productivity_decline_score].[All]" dimensionUniqueName="[Table1]" displayFolder="" count="0" memberValueDatatype="130" unbalanced="0"/>
    <cacheHierarchy uniqueName="[Table1].[dopamine_dysregulation_index]" caption="dopamine_dysregulation_index" attribute="1" defaultMemberUniqueName="[Table1].[dopamine_dysregulation_index].[All]" allUniqueName="[Table1].[dopamine_dysregulation_index].[All]" dimensionUniqueName="[Table1]" displayFolder="" count="0" memberValueDatatype="5" unbalanced="0"/>
    <cacheHierarchy uniqueName="[Table1].[digital_wellbeing_score]" caption="digital_wellbeing_score" attribute="1" defaultMemberUniqueName="[Table1].[digital_wellbeing_score].[All]" allUniqueName="[Table1].[digital_wellbeing_score].[All]" dimensionUniqueName="[Table1]" displayFolder="" count="0" memberValueDatatype="5" unbalanced="0"/>
    <cacheHierarchy uniqueName="[Table1].[sm_addiction_risk_score]" caption="sm_addiction_risk_score" attribute="1" defaultMemberUniqueName="[Table1].[sm_addiction_risk_score].[All]" allUniqueName="[Table1].[sm_addiction_risk_score].[All]" dimensionUniqueName="[Table1]" displayFolder="" count="0" memberValueDatatype="5" unbalanced="0"/>
    <cacheHierarchy uniqueName="[Table1].[notes]" caption="notes" attribute="1" defaultMemberUniqueName="[Table1].[notes].[All]" allUniqueName="[Table1].[notes].[All]" dimensionUniqueName="[Table1]" displayFolder="" count="0" memberValueDatatype="5" unbalanced="0"/>
    <cacheHierarchy uniqueName="[Measures].[Count of primary_platform]" caption="Count of primary_platform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tionality]" caption="Count of nationality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_addiction_risk_score]" caption="Sum of sm_addiction_risk_score" measure="1" displayFolder="" measureGroup="Table1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sm_addiction_risk_score]" caption="Average of sm_addiction_risk_score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participant_id]" caption="Count of participant_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g_daily_sm_hours]" caption="Sum of avg_daily_sm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avg_daily_sm_hours]" caption="Average of avg_daily_sm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user" refreshedDate="46287.233927314817" backgroundQuery="1" createdVersion="5" refreshedVersion="5" minRefreshableVersion="3" recordCount="0" supportSubquery="1" supportAdvancedDrill="1">
  <cacheSource type="external" connectionId="1"/>
  <cacheFields count="2">
    <cacheField name="[Table1].[nationality].[nationality]" caption="nationality" numFmtId="0" hierarchy="5" level="1">
      <sharedItems count="39">
        <s v="American"/>
        <s v="Argentinian"/>
        <s v="Australian"/>
        <s v="Bangladeshi"/>
        <s v="Brazilian"/>
        <s v="British"/>
        <s v="Cameroonian"/>
        <s v="Canadian"/>
        <s v="Chinese"/>
        <s v="Colombian"/>
        <s v="Egyptian"/>
        <s v="Ethiopian"/>
        <s v="Filipino"/>
        <s v="French"/>
        <s v="German"/>
        <s v="Ghanaian"/>
        <s v="Indian"/>
        <s v="Indonesian"/>
        <s v="Iranian"/>
        <s v="Japanese"/>
        <s v="Kenyan"/>
        <s v="Lebanese"/>
        <s v="Malaysian"/>
        <s v="Mexican"/>
        <s v="Nepali"/>
        <s v="Nigerian"/>
        <s v="Pakistani"/>
        <s v="Peruvian"/>
        <s v="Saudi"/>
        <s v="Senegalese"/>
        <s v="South African"/>
        <s v="South Korean"/>
        <s v="Spanish"/>
        <s v="Sri Lankan"/>
        <s v="Thai"/>
        <s v="Turkish"/>
        <s v="Venezuelan"/>
        <s v="Vietnamese"/>
        <s v="Zimbabwean"/>
      </sharedItems>
    </cacheField>
    <cacheField name="[Measures].[Count of nationality]" caption="Count of nationality" numFmtId="0" hierarchy="66" level="32767"/>
  </cacheFields>
  <cacheHierarchies count="74">
    <cacheHierarchy uniqueName="[Table1].[participant_id]" caption="participant_id" attribute="1" defaultMemberUniqueName="[Table1].[participant_id].[All]" allUniqueName="[Table1].[participant_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race_ethnicity]" caption="race_ethnicity" attribute="1" defaultMemberUniqueName="[Table1].[race_ethnicity].[All]" allUniqueName="[Table1].[race_ethnicity].[All]" dimensionUniqueName="[Table1]" displayFolder="" count="0" memberValueDatatype="130" unbalanced="0"/>
    <cacheHierarchy uniqueName="[Table1].[nationality]" caption="nationality" attribute="1" defaultMemberUniqueName="[Table1].[nationality].[All]" allUniqueName="[Table1].[nationalit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ountry_of_residence]" caption="country_of_residence" attribute="1" defaultMemberUniqueName="[Table1].[country_of_residence].[All]" allUniqueName="[Table1].[country_of_residence].[All]" dimensionUniqueName="[Table1]" displayFolder="" count="0" memberValueDatatype="130" unbalanced="0"/>
    <cacheHierarchy uniqueName="[Table1].[education_level]" caption="education_level" attribute="1" defaultMemberUniqueName="[Table1].[education_level].[All]" allUniqueName="[Table1].[education_level].[All]" dimensionUniqueName="[Table1]" displayFolder="" count="0" memberValueDatatype="130" unbalanced="0"/>
    <cacheHierarchy uniqueName="[Table1].[employment_status]" caption="employment_status" attribute="1" defaultMemberUniqueName="[Table1].[employment_status].[All]" allUniqueName="[Table1].[employment_status].[All]" dimensionUniqueName="[Table1]" displayFolder="" count="0" memberValueDatatype="130" unbalanced="0"/>
    <cacheHierarchy uniqueName="[Table1].[occupation_category]" caption="occupation_category" attribute="1" defaultMemberUniqueName="[Table1].[occupation_category].[All]" allUniqueName="[Table1].[occupation_category].[All]" dimensionUniqueName="[Table1]" displayFolder="" count="0" memberValueDatatype="130" unbalanced="0"/>
    <cacheHierarchy uniqueName="[Table1].[relationship_status]" caption="relationship_status" attribute="1" defaultMemberUniqueName="[Table1].[relationship_status].[All]" allUniqueName="[Table1].[relationship_status].[All]" dimensionUniqueName="[Table1]" displayFolder="" count="0" memberValueDatatype="130" unbalanced="0"/>
    <cacheHierarchy uniqueName="[Table1].[avg_daily_sm_hours]" caption="avg_daily_sm_hours" attribute="1" defaultMemberUniqueName="[Table1].[avg_daily_sm_hours].[All]" allUniqueName="[Table1].[avg_daily_sm_hours].[All]" dimensionUniqueName="[Table1]" displayFolder="" count="0" memberValueDatatype="5" unbalanced="0"/>
    <cacheHierarchy uniqueName="[Table1].[years_on_social_media]" caption="years_on_social_media" attribute="1" defaultMemberUniqueName="[Table1].[years_on_social_media].[All]" allUniqueName="[Table1].[years_on_social_media].[All]" dimensionUniqueName="[Table1]" displayFolder="" count="0" memberValueDatatype="20" unbalanced="0"/>
    <cacheHierarchy uniqueName="[Table1].[primary_platform]" caption="primary_platform" attribute="1" defaultMemberUniqueName="[Table1].[primary_platform].[All]" allUniqueName="[Table1].[primary_platform].[All]" dimensionUniqueName="[Table1]" displayFolder="" count="0" memberValueDatatype="130" unbalanced="0"/>
    <cacheHierarchy uniqueName="[Table1].[secondary_platform]" caption="secondary_platform" attribute="1" defaultMemberUniqueName="[Table1].[secondary_platform].[All]" allUniqueName="[Table1].[secondary_platform].[All]" dimensionUniqueName="[Table1]" displayFolder="" count="0" memberValueDatatype="130" unbalanced="0"/>
    <cacheHierarchy uniqueName="[Table1].[daily_check_frequency]" caption="daily_check_frequency" attribute="1" defaultMemberUniqueName="[Table1].[daily_check_frequency].[All]" allUniqueName="[Table1].[daily_check_frequency].[All]" dimensionUniqueName="[Table1]" displayFolder="" count="0" memberValueDatatype="130" unbalanced="0"/>
    <cacheHierarchy uniqueName="[Table1].[first_check_of_day]" caption="first_check_of_day" attribute="1" defaultMemberUniqueName="[Table1].[first_check_of_day].[All]" allUniqueName="[Table1].[first_check_of_day].[All]" dimensionUniqueName="[Table1]" displayFolder="" count="0" memberValueDatatype="130" unbalanced="0"/>
    <cacheHierarchy uniqueName="[Table1].[late_night_scrolling]" caption="late_night_scrolling" attribute="1" defaultMemberUniqueName="[Table1].[late_night_scrolling].[All]" allUniqueName="[Table1].[late_night_scrolling].[All]" dimensionUniqueName="[Table1]" displayFolder="" count="0" memberValueDatatype="130" unbalanced="0"/>
    <cacheHierarchy uniqueName="[Table1].[sm_during_work_study]" caption="sm_during_work_study" attribute="1" defaultMemberUniqueName="[Table1].[sm_during_work_study].[All]" allUniqueName="[Table1].[sm_during_work_study].[All]" dimensionUniqueName="[Table1]" displayFolder="" count="0" memberValueDatatype="130" unbalanced="0"/>
    <cacheHierarchy uniqueName="[Table1].[sm_during_meals]" caption="sm_during_meals" attribute="1" defaultMemberUniqueName="[Table1].[sm_during_meals].[All]" allUniqueName="[Table1].[sm_during_meals].[All]" dimensionUniqueName="[Table1]" displayFolder="" count="0" memberValueDatatype="130" unbalanced="0"/>
    <cacheHierarchy uniqueName="[Table1].[notifications_always_on]" caption="notifications_always_on" attribute="1" defaultMemberUniqueName="[Table1].[notifications_always_on].[All]" allUniqueName="[Table1].[notifications_always_on].[All]" dimensionUniqueName="[Table1]" displayFolder="" count="0" memberValueDatatype="130" unbalanced="0"/>
    <cacheHierarchy uniqueName="[Table1].[scroll_without_purpose]" caption="scroll_without_purpose" attribute="1" defaultMemberUniqueName="[Table1].[scroll_without_purpose].[All]" allUniqueName="[Table1].[scroll_without_purpose].[All]" dimensionUniqueName="[Table1]" displayFolder="" count="0" memberValueDatatype="130" unbalanced="0"/>
    <cacheHierarchy uniqueName="[Table1].[doomscrolling_frequency]" caption="doomscrolling_frequency" attribute="1" defaultMemberUniqueName="[Table1].[doomscrolling_frequency].[All]" allUniqueName="[Table1].[doomscrolling_frequency].[All]" dimensionUniqueName="[Table1]" displayFolder="" count="0" memberValueDatatype="130" unbalanced="0"/>
    <cacheHierarchy uniqueName="[Table1].[content_type_consumed]" caption="content_type_consumed" attribute="1" defaultMemberUniqueName="[Table1].[content_type_consumed].[All]" allUniqueName="[Table1].[content_type_consumed].[All]" dimensionUniqueName="[Table1]" displayFolder="" count="0" memberValueDatatype="130" unbalanced="0"/>
    <cacheHierarchy uniqueName="[Table1].[avg_daily_screen_time_hours]" caption="avg_daily_screen_time_hours" attribute="1" defaultMemberUniqueName="[Table1].[avg_daily_screen_time_hours].[All]" allUniqueName="[Table1].[avg_daily_screen_time_hours].[All]" dimensionUniqueName="[Table1]" displayFolder="" count="0" memberValueDatatype="5" unbalanced="0"/>
    <cacheHierarchy uniqueName="[Table1].[avg_sleep_hours]" caption="avg_sleep_hours" attribute="1" defaultMemberUniqueName="[Table1].[avg_sleep_hours].[All]" allUniqueName="[Table1].[avg_sleep_hours].[All]" dimensionUniqueName="[Table1]" displayFolder="" count="0" memberValueDatatype="5" unbalanced="0"/>
    <cacheHierarchy uniqueName="[Table1].[sleep_quality]" caption="sleep_quality" attribute="1" defaultMemberUniqueName="[Table1].[sleep_quality].[All]" allUniqueName="[Table1].[sleep_quality].[All]" dimensionUniqueName="[Table1]" displayFolder="" count="0" memberValueDatatype="130" unbalanced="0"/>
    <cacheHierarchy uniqueName="[Table1].[exercise_frequency]" caption="exercise_frequency" attribute="1" defaultMemberUniqueName="[Table1].[exercise_frequency].[All]" allUniqueName="[Table1].[exercise_frequency].[All]" dimensionUniqueName="[Table1]" displayFolder="" count="0" memberValueDatatype="130" unbalanced="0"/>
    <cacheHierarchy uniqueName="[Table1].[avg_work_study_hours_per_day]" caption="avg_work_study_hours_per_day" attribute="1" defaultMemberUniqueName="[Table1].[avg_work_study_hours_per_day].[All]" allUniqueName="[Table1].[avg_work_study_hours_per_day].[All]" dimensionUniqueName="[Table1]" displayFolder="" count="0" memberValueDatatype="5" unbalanced="0"/>
    <cacheHierarchy uniqueName="[Table1].[dopamine_rush_feel_score]" caption="dopamine_rush_feel_score" attribute="1" defaultMemberUniqueName="[Table1].[dopamine_rush_feel_score].[All]" allUniqueName="[Table1].[dopamine_rush_feel_score].[All]" dimensionUniqueName="[Table1]" displayFolder="" count="0" memberValueDatatype="20" unbalanced="0"/>
    <cacheHierarchy uniqueName="[Table1].[reward_seeking_behavior]" caption="reward_seeking_behavior" attribute="1" defaultMemberUniqueName="[Table1].[reward_seeking_behavior].[All]" allUniqueName="[Table1].[reward_seeking_behavior].[All]" dimensionUniqueName="[Table1]" displayFolder="" count="0" memberValueDatatype="20" unbalanced="0"/>
    <cacheHierarchy uniqueName="[Table1].[fomo_score]" caption="fomo_score" attribute="1" defaultMemberUniqueName="[Table1].[fomo_score].[All]" allUniqueName="[Table1].[fomo_score].[All]" dimensionUniqueName="[Table1]" displayFolder="" count="0" memberValueDatatype="20" unbalanced="0"/>
    <cacheHierarchy uniqueName="[Table1].[comparison_to_others_score]" caption="comparison_to_others_score" attribute="1" defaultMemberUniqueName="[Table1].[comparison_to_others_score].[All]" allUniqueName="[Table1].[comparison_to_others_score].[All]" dimensionUniqueName="[Table1]" displayFolder="" count="0" memberValueDatatype="20" unbalanced="0"/>
    <cacheHierarchy uniqueName="[Table1].[validation_seeking_score]" caption="validation_seeking_score" attribute="1" defaultMemberUniqueName="[Table1].[validation_seeking_score].[All]" allUniqueName="[Table1].[validation_seeking_score].[All]" dimensionUniqueName="[Table1]" displayFolder="" count="0" memberValueDatatype="20" unbalanced="0"/>
    <cacheHierarchy uniqueName="[Table1].[boredom_to_phone_reflex]" caption="boredom_to_phone_reflex" attribute="1" defaultMemberUniqueName="[Table1].[boredom_to_phone_reflex].[All]" allUniqueName="[Table1].[boredom_to_phone_reflex].[All]" dimensionUniqueName="[Table1]" displayFolder="" count="0" memberValueDatatype="130" unbalanced="0"/>
    <cacheHierarchy uniqueName="[Table1].[inability_to_delay_gratification]" caption="inability_to_delay_gratification" attribute="1" defaultMemberUniqueName="[Table1].[inability_to_delay_gratification].[All]" allUniqueName="[Table1].[inability_to_delay_gratification].[All]" dimensionUniqueName="[Table1]" displayFolder="" count="0" memberValueDatatype="130" unbalanced="0"/>
    <cacheHierarchy uniqueName="[Table1].[attention_span_minutes]" caption="attention_span_minutes" attribute="1" defaultMemberUniqueName="[Table1].[attention_span_minutes].[All]" allUniqueName="[Table1].[attention_span_minutes].[All]" dimensionUniqueName="[Table1]" displayFolder="" count="0" memberValueDatatype="20" unbalanced="0"/>
    <cacheHierarchy uniqueName="[Table1].[deep_work_duration_minutes]" caption="deep_work_duration_minutes" attribute="1" defaultMemberUniqueName="[Table1].[deep_work_duration_minutes].[All]" allUniqueName="[Table1].[deep_work_duration_minutes].[All]" dimensionUniqueName="[Table1]" displayFolder="" count="0" memberValueDatatype="20" unbalanced="0"/>
    <cacheHierarchy uniqueName="[Table1].[task_switching_frequency]" caption="task_switching_frequency" attribute="1" defaultMemberUniqueName="[Table1].[task_switching_frequency].[All]" allUniqueName="[Table1].[task_switching_frequency].[All]" dimensionUniqueName="[Table1]" displayFolder="" count="0" memberValueDatatype="130" unbalanced="0"/>
    <cacheHierarchy uniqueName="[Table1].[difficulty_starting_tasks]" caption="difficulty_starting_tasks" attribute="1" defaultMemberUniqueName="[Table1].[difficulty_starting_tasks].[All]" allUniqueName="[Table1].[difficulty_starting_tasks].[All]" dimensionUniqueName="[Table1]" displayFolder="" count="0" memberValueDatatype="130" unbalanced="0"/>
    <cacheHierarchy uniqueName="[Table1].[difficulty_maintaining_focus]" caption="difficulty_maintaining_focus" attribute="1" defaultMemberUniqueName="[Table1].[difficulty_maintaining_focus].[All]" allUniqueName="[Table1].[difficulty_maintaining_focus].[All]" dimensionUniqueName="[Table1]" displayFolder="" count="0" memberValueDatatype="130" unbalanced="0"/>
    <cacheHierarchy uniqueName="[Table1].[mind_wandering_during_work]" caption="mind_wandering_during_work" attribute="1" defaultMemberUniqueName="[Table1].[mind_wandering_during_work].[All]" allUniqueName="[Table1].[mind_wandering_during_work].[All]" dimensionUniqueName="[Table1]" displayFolder="" count="0" memberValueDatatype="130" unbalanced="0"/>
    <cacheHierarchy uniqueName="[Table1].[productivity_self_rating]" caption="productivity_self_rating" attribute="1" defaultMemberUniqueName="[Table1].[productivity_self_rating].[All]" allUniqueName="[Table1].[productivity_self_rating].[All]" dimensionUniqueName="[Table1]" displayFolder="" count="0" memberValueDatatype="20" unbalanced="0"/>
    <cacheHierarchy uniqueName="[Table1].[tasks_completed_per_day]" caption="tasks_completed_per_day" attribute="1" defaultMemberUniqueName="[Table1].[tasks_completed_per_day].[All]" allUniqueName="[Table1].[tasks_completed_per_day].[All]" dimensionUniqueName="[Table1]" displayFolder="" count="0" memberValueDatatype="20" unbalanced="0"/>
    <cacheHierarchy uniqueName="[Table1].[work_quality_self_rating]" caption="work_quality_self_rating" attribute="1" defaultMemberUniqueName="[Table1].[work_quality_self_rating].[All]" allUniqueName="[Table1].[work_quality_self_rating].[All]" dimensionUniqueName="[Table1]" displayFolder="" count="0" memberValueDatatype="20" unbalanced="0"/>
    <cacheHierarchy uniqueName="[Table1].[creative_output_frequency]" caption="creative_output_frequency" attribute="1" defaultMemberUniqueName="[Table1].[creative_output_frequency].[All]" allUniqueName="[Table1].[creative_output_frequency].[All]" dimensionUniqueName="[Table1]" displayFolder="" count="0" memberValueDatatype="130" unbalanced="0"/>
    <cacheHierarchy uniqueName="[Table1].[reading_duration_minutes_per_day]" caption="reading_duration_minutes_per_day" attribute="1" defaultMemberUniqueName="[Table1].[reading_duration_minutes_per_day].[All]" allUniqueName="[Table1].[reading_duration_minutes_per_day].[All]" dimensionUniqueName="[Table1]" displayFolder="" count="0" memberValueDatatype="20" unbalanced="0"/>
    <cacheHierarchy uniqueName="[Table1].[memory_recall_difficulty]" caption="memory_recall_difficulty" attribute="1" defaultMemberUniqueName="[Table1].[memory_recall_difficulty].[All]" allUniqueName="[Table1].[memory_recall_difficulty].[All]" dimensionUniqueName="[Table1]" displayFolder="" count="0" memberValueDatatype="130" unbalanced="0"/>
    <cacheHierarchy uniqueName="[Table1].[learning_retention_difficulty]" caption="learning_retention_difficulty" attribute="1" defaultMemberUniqueName="[Table1].[learning_retention_difficulty].[All]" allUniqueName="[Table1].[learning_retention_difficulty].[All]" dimensionUniqueName="[Table1]" displayFolder="" count="0" memberValueDatatype="130" unbalanced="0"/>
    <cacheHierarchy uniqueName="[Table1].[decision_fatigue_score]" caption="decision_fatigue_score" attribute="1" defaultMemberUniqueName="[Table1].[decision_fatigue_score].[All]" allUniqueName="[Table1].[decision_fatigue_score].[All]" dimensionUniqueName="[Table1]" displayFolder="" count="0" memberValueDatatype="20" unbalanced="0"/>
    <cacheHierarchy uniqueName="[Table1].[mental_fog_frequency]" caption="mental_fog_frequency" attribute="1" defaultMemberUniqueName="[Table1].[mental_fog_frequency].[All]" allUniqueName="[Table1].[mental_fog_frequency].[All]" dimensionUniqueName="[Table1]" displayFolder="" count="0" memberValueDatatype="130" unbalanced="0"/>
    <cacheHierarchy uniqueName="[Table1].[irritability_when_offline]" caption="irritability_when_offline" attribute="1" defaultMemberUniqueName="[Table1].[irritability_when_offline].[All]" allUniqueName="[Table1].[irritability_when_offline].[All]" dimensionUniqueName="[Table1]" displayFolder="" count="0" memberValueDatatype="130" unbalanced="0"/>
    <cacheHierarchy uniqueName="[Table1].[anxiety_when_phone_unavailable]" caption="anxiety_when_phone_unavailable" attribute="1" defaultMemberUniqueName="[Table1].[anxiety_when_phone_unavailable].[All]" allUniqueName="[Table1].[anxiety_when_phone_unavailable].[All]" dimensionUniqueName="[Table1]" displayFolder="" count="0" memberValueDatatype="20" unbalanced="0"/>
    <cacheHierarchy uniqueName="[Table1].[restlessness_score]" caption="restlessness_score" attribute="1" defaultMemberUniqueName="[Table1].[restlessness_score].[All]" allUniqueName="[Table1].[restlessness_score].[All]" dimensionUniqueName="[Table1]" displayFolder="" count="0" memberValueDatatype="20" unbalanced="0"/>
    <cacheHierarchy uniqueName="[Table1].[mood_dependency_on_sm]" caption="mood_dependency_on_sm" attribute="1" defaultMemberUniqueName="[Table1].[mood_dependency_on_sm].[All]" allUniqueName="[Table1].[mood_dependency_on_sm].[All]" dimensionUniqueName="[Table1]" displayFolder="" count="0" memberValueDatatype="130" unbalanced="0"/>
    <cacheHierarchy uniqueName="[Table1].[withdrawal_attempt_count]" caption="withdrawal_attempt_count" attribute="1" defaultMemberUniqueName="[Table1].[withdrawal_attempt_count].[All]" allUniqueName="[Table1].[withdrawal_attempt_count].[All]" dimensionUniqueName="[Table1]" displayFolder="" count="0" memberValueDatatype="20" unbalanced="0"/>
    <cacheHierarchy uniqueName="[Table1].[longest_detox_days]" caption="longest_detox_days" attribute="1" defaultMemberUniqueName="[Table1].[longest_detox_days].[All]" allUniqueName="[Table1].[longest_detox_days].[All]" dimensionUniqueName="[Table1]" displayFolder="" count="0" memberValueDatatype="20" unbalanced="0"/>
    <cacheHierarchy uniqueName="[Table1].[detox_relapse_reason]" caption="detox_relapse_reason" attribute="1" defaultMemberUniqueName="[Table1].[detox_relapse_reason].[All]" allUniqueName="[Table1].[detox_relapse_reason].[All]" dimensionUniqueName="[Table1]" displayFolder="" count="0" memberValueDatatype="20" unbalanced="0"/>
    <cacheHierarchy uniqueName="[Table1].[severity_stage]" caption="severity_stage" attribute="1" defaultMemberUniqueName="[Table1].[severity_stage].[All]" allUniqueName="[Table1].[severity_stage].[All]" dimensionUniqueName="[Table1]" displayFolder="" count="0" memberValueDatatype="130" unbalanced="0"/>
    <cacheHierarchy uniqueName="[Table1].[productivity_decline_score]" caption="productivity_decline_score" attribute="1" defaultMemberUniqueName="[Table1].[productivity_decline_score].[All]" allUniqueName="[Table1].[productivity_decline_score].[All]" dimensionUniqueName="[Table1]" displayFolder="" count="0" memberValueDatatype="130" unbalanced="0"/>
    <cacheHierarchy uniqueName="[Table1].[dopamine_dysregulation_index]" caption="dopamine_dysregulation_index" attribute="1" defaultMemberUniqueName="[Table1].[dopamine_dysregulation_index].[All]" allUniqueName="[Table1].[dopamine_dysregulation_index].[All]" dimensionUniqueName="[Table1]" displayFolder="" count="0" memberValueDatatype="5" unbalanced="0"/>
    <cacheHierarchy uniqueName="[Table1].[digital_wellbeing_score]" caption="digital_wellbeing_score" attribute="1" defaultMemberUniqueName="[Table1].[digital_wellbeing_score].[All]" allUniqueName="[Table1].[digital_wellbeing_score].[All]" dimensionUniqueName="[Table1]" displayFolder="" count="0" memberValueDatatype="5" unbalanced="0"/>
    <cacheHierarchy uniqueName="[Table1].[sm_addiction_risk_score]" caption="sm_addiction_risk_score" attribute="1" defaultMemberUniqueName="[Table1].[sm_addiction_risk_score].[All]" allUniqueName="[Table1].[sm_addiction_risk_score].[All]" dimensionUniqueName="[Table1]" displayFolder="" count="0" memberValueDatatype="5" unbalanced="0"/>
    <cacheHierarchy uniqueName="[Table1].[notes]" caption="notes" attribute="1" defaultMemberUniqueName="[Table1].[notes].[All]" allUniqueName="[Table1].[notes].[All]" dimensionUniqueName="[Table1]" displayFolder="" count="0" memberValueDatatype="5" unbalanced="0"/>
    <cacheHierarchy uniqueName="[Measures].[Count of primary_platform]" caption="Count of primary_platform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tionality]" caption="Count of nationality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_addiction_risk_score]" caption="Sum of sm_addiction_risk_score" measure="1" displayFolder="" measureGroup="Table1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sm_addiction_risk_score]" caption="Average of sm_addiction_risk_score" measure="1" displayFolder="" measureGroup="Table1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participant_id]" caption="Count of participant_id" measure="1" displayFolder="" measureGroup="Table1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g_daily_sm_hours]" caption="Sum of avg_daily_sm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avg_daily_sm_hours]" caption="Average of avg_daily_sm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user" refreshedDate="46287.235994560186" backgroundQuery="1" createdVersion="5" refreshedVersion="5" minRefreshableVersion="3" recordCount="0" supportSubquery="1" supportAdvancedDrill="1">
  <cacheSource type="external" connectionId="1"/>
  <cacheFields count="2">
    <cacheField name="[Table1].[age_group].[age_group]" caption="age_group" numFmtId="0" hierarchy="2" level="1">
      <sharedItems count="7">
        <s v="13-17"/>
        <s v="18-22"/>
        <s v="23-27"/>
        <s v="28-35"/>
        <s v="36-49"/>
        <s v="50-59"/>
        <s v="60+"/>
      </sharedItems>
    </cacheField>
    <cacheField name="[Measures].[Count of participant_id]" caption="Count of participant_id" numFmtId="0" hierarchy="69" level="32767"/>
  </cacheFields>
  <cacheHierarchies count="74">
    <cacheHierarchy uniqueName="[Table1].[participant_id]" caption="participant_id" attribute="1" defaultMemberUniqueName="[Table1].[participant_id].[All]" allUniqueName="[Table1].[participant_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_group]" caption="age_group" attribute="1" defaultMemberUniqueName="[Table1].[age_group].[All]" allUniqueName="[Table1].[age_group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race_ethnicity]" caption="race_ethnicity" attribute="1" defaultMemberUniqueName="[Table1].[race_ethnicity].[All]" allUniqueName="[Table1].[race_ethnicity].[All]" dimensionUniqueName="[Table1]" displayFolder="" count="0" memberValueDatatype="130" unbalanced="0"/>
    <cacheHierarchy uniqueName="[Table1].[nationality]" caption="nationality" attribute="1" defaultMemberUniqueName="[Table1].[nationality].[All]" allUniqueName="[Table1].[nationality].[All]" dimensionUniqueName="[Table1]" displayFolder="" count="0" memberValueDatatype="130" unbalanced="0"/>
    <cacheHierarchy uniqueName="[Table1].[country_of_residence]" caption="country_of_residence" attribute="1" defaultMemberUniqueName="[Table1].[country_of_residence].[All]" allUniqueName="[Table1].[country_of_residence].[All]" dimensionUniqueName="[Table1]" displayFolder="" count="0" memberValueDatatype="130" unbalanced="0"/>
    <cacheHierarchy uniqueName="[Table1].[education_level]" caption="education_level" attribute="1" defaultMemberUniqueName="[Table1].[education_level].[All]" allUniqueName="[Table1].[education_level].[All]" dimensionUniqueName="[Table1]" displayFolder="" count="0" memberValueDatatype="130" unbalanced="0"/>
    <cacheHierarchy uniqueName="[Table1].[employment_status]" caption="employment_status" attribute="1" defaultMemberUniqueName="[Table1].[employment_status].[All]" allUniqueName="[Table1].[employment_status].[All]" dimensionUniqueName="[Table1]" displayFolder="" count="0" memberValueDatatype="130" unbalanced="0"/>
    <cacheHierarchy uniqueName="[Table1].[occupation_category]" caption="occupation_category" attribute="1" defaultMemberUniqueName="[Table1].[occupation_category].[All]" allUniqueName="[Table1].[occupation_category].[All]" dimensionUniqueName="[Table1]" displayFolder="" count="0" memberValueDatatype="130" unbalanced="0"/>
    <cacheHierarchy uniqueName="[Table1].[relationship_status]" caption="relationship_status" attribute="1" defaultMemberUniqueName="[Table1].[relationship_status].[All]" allUniqueName="[Table1].[relationship_status].[All]" dimensionUniqueName="[Table1]" displayFolder="" count="0" memberValueDatatype="130" unbalanced="0"/>
    <cacheHierarchy uniqueName="[Table1].[avg_daily_sm_hours]" caption="avg_daily_sm_hours" attribute="1" defaultMemberUniqueName="[Table1].[avg_daily_sm_hours].[All]" allUniqueName="[Table1].[avg_daily_sm_hours].[All]" dimensionUniqueName="[Table1]" displayFolder="" count="0" memberValueDatatype="5" unbalanced="0"/>
    <cacheHierarchy uniqueName="[Table1].[years_on_social_media]" caption="years_on_social_media" attribute="1" defaultMemberUniqueName="[Table1].[years_on_social_media].[All]" allUniqueName="[Table1].[years_on_social_media].[All]" dimensionUniqueName="[Table1]" displayFolder="" count="0" memberValueDatatype="20" unbalanced="0"/>
    <cacheHierarchy uniqueName="[Table1].[primary_platform]" caption="primary_platform" attribute="1" defaultMemberUniqueName="[Table1].[primary_platform].[All]" allUniqueName="[Table1].[primary_platform].[All]" dimensionUniqueName="[Table1]" displayFolder="" count="0" memberValueDatatype="130" unbalanced="0"/>
    <cacheHierarchy uniqueName="[Table1].[secondary_platform]" caption="secondary_platform" attribute="1" defaultMemberUniqueName="[Table1].[secondary_platform].[All]" allUniqueName="[Table1].[secondary_platform].[All]" dimensionUniqueName="[Table1]" displayFolder="" count="0" memberValueDatatype="130" unbalanced="0"/>
    <cacheHierarchy uniqueName="[Table1].[daily_check_frequency]" caption="daily_check_frequency" attribute="1" defaultMemberUniqueName="[Table1].[daily_check_frequency].[All]" allUniqueName="[Table1].[daily_check_frequency].[All]" dimensionUniqueName="[Table1]" displayFolder="" count="0" memberValueDatatype="130" unbalanced="0"/>
    <cacheHierarchy uniqueName="[Table1].[first_check_of_day]" caption="first_check_of_day" attribute="1" defaultMemberUniqueName="[Table1].[first_check_of_day].[All]" allUniqueName="[Table1].[first_check_of_day].[All]" dimensionUniqueName="[Table1]" displayFolder="" count="0" memberValueDatatype="130" unbalanced="0"/>
    <cacheHierarchy uniqueName="[Table1].[late_night_scrolling]" caption="late_night_scrolling" attribute="1" defaultMemberUniqueName="[Table1].[late_night_scrolling].[All]" allUniqueName="[Table1].[late_night_scrolling].[All]" dimensionUniqueName="[Table1]" displayFolder="" count="0" memberValueDatatype="130" unbalanced="0"/>
    <cacheHierarchy uniqueName="[Table1].[sm_during_work_study]" caption="sm_during_work_study" attribute="1" defaultMemberUniqueName="[Table1].[sm_during_work_study].[All]" allUniqueName="[Table1].[sm_during_work_study].[All]" dimensionUniqueName="[Table1]" displayFolder="" count="0" memberValueDatatype="130" unbalanced="0"/>
    <cacheHierarchy uniqueName="[Table1].[sm_during_meals]" caption="sm_during_meals" attribute="1" defaultMemberUniqueName="[Table1].[sm_during_meals].[All]" allUniqueName="[Table1].[sm_during_meals].[All]" dimensionUniqueName="[Table1]" displayFolder="" count="0" memberValueDatatype="130" unbalanced="0"/>
    <cacheHierarchy uniqueName="[Table1].[notifications_always_on]" caption="notifications_always_on" attribute="1" defaultMemberUniqueName="[Table1].[notifications_always_on].[All]" allUniqueName="[Table1].[notifications_always_on].[All]" dimensionUniqueName="[Table1]" displayFolder="" count="0" memberValueDatatype="130" unbalanced="0"/>
    <cacheHierarchy uniqueName="[Table1].[scroll_without_purpose]" caption="scroll_without_purpose" attribute="1" defaultMemberUniqueName="[Table1].[scroll_without_purpose].[All]" allUniqueName="[Table1].[scroll_without_purpose].[All]" dimensionUniqueName="[Table1]" displayFolder="" count="0" memberValueDatatype="130" unbalanced="0"/>
    <cacheHierarchy uniqueName="[Table1].[doomscrolling_frequency]" caption="doomscrolling_frequency" attribute="1" defaultMemberUniqueName="[Table1].[doomscrolling_frequency].[All]" allUniqueName="[Table1].[doomscrolling_frequency].[All]" dimensionUniqueName="[Table1]" displayFolder="" count="0" memberValueDatatype="130" unbalanced="0"/>
    <cacheHierarchy uniqueName="[Table1].[content_type_consumed]" caption="content_type_consumed" attribute="1" defaultMemberUniqueName="[Table1].[content_type_consumed].[All]" allUniqueName="[Table1].[content_type_consumed].[All]" dimensionUniqueName="[Table1]" displayFolder="" count="0" memberValueDatatype="130" unbalanced="0"/>
    <cacheHierarchy uniqueName="[Table1].[avg_daily_screen_time_hours]" caption="avg_daily_screen_time_hours" attribute="1" defaultMemberUniqueName="[Table1].[avg_daily_screen_time_hours].[All]" allUniqueName="[Table1].[avg_daily_screen_time_hours].[All]" dimensionUniqueName="[Table1]" displayFolder="" count="0" memberValueDatatype="5" unbalanced="0"/>
    <cacheHierarchy uniqueName="[Table1].[avg_sleep_hours]" caption="avg_sleep_hours" attribute="1" defaultMemberUniqueName="[Table1].[avg_sleep_hours].[All]" allUniqueName="[Table1].[avg_sleep_hours].[All]" dimensionUniqueName="[Table1]" displayFolder="" count="0" memberValueDatatype="5" unbalanced="0"/>
    <cacheHierarchy uniqueName="[Table1].[sleep_quality]" caption="sleep_quality" attribute="1" defaultMemberUniqueName="[Table1].[sleep_quality].[All]" allUniqueName="[Table1].[sleep_quality].[All]" dimensionUniqueName="[Table1]" displayFolder="" count="0" memberValueDatatype="130" unbalanced="0"/>
    <cacheHierarchy uniqueName="[Table1].[exercise_frequency]" caption="exercise_frequency" attribute="1" defaultMemberUniqueName="[Table1].[exercise_frequency].[All]" allUniqueName="[Table1].[exercise_frequency].[All]" dimensionUniqueName="[Table1]" displayFolder="" count="0" memberValueDatatype="130" unbalanced="0"/>
    <cacheHierarchy uniqueName="[Table1].[avg_work_study_hours_per_day]" caption="avg_work_study_hours_per_day" attribute="1" defaultMemberUniqueName="[Table1].[avg_work_study_hours_per_day].[All]" allUniqueName="[Table1].[avg_work_study_hours_per_day].[All]" dimensionUniqueName="[Table1]" displayFolder="" count="0" memberValueDatatype="5" unbalanced="0"/>
    <cacheHierarchy uniqueName="[Table1].[dopamine_rush_feel_score]" caption="dopamine_rush_feel_score" attribute="1" defaultMemberUniqueName="[Table1].[dopamine_rush_feel_score].[All]" allUniqueName="[Table1].[dopamine_rush_feel_score].[All]" dimensionUniqueName="[Table1]" displayFolder="" count="0" memberValueDatatype="20" unbalanced="0"/>
    <cacheHierarchy uniqueName="[Table1].[reward_seeking_behavior]" caption="reward_seeking_behavior" attribute="1" defaultMemberUniqueName="[Table1].[reward_seeking_behavior].[All]" allUniqueName="[Table1].[reward_seeking_behavior].[All]" dimensionUniqueName="[Table1]" displayFolder="" count="0" memberValueDatatype="20" unbalanced="0"/>
    <cacheHierarchy uniqueName="[Table1].[fomo_score]" caption="fomo_score" attribute="1" defaultMemberUniqueName="[Table1].[fomo_score].[All]" allUniqueName="[Table1].[fomo_score].[All]" dimensionUniqueName="[Table1]" displayFolder="" count="0" memberValueDatatype="20" unbalanced="0"/>
    <cacheHierarchy uniqueName="[Table1].[comparison_to_others_score]" caption="comparison_to_others_score" attribute="1" defaultMemberUniqueName="[Table1].[comparison_to_others_score].[All]" allUniqueName="[Table1].[comparison_to_others_score].[All]" dimensionUniqueName="[Table1]" displayFolder="" count="0" memberValueDatatype="20" unbalanced="0"/>
    <cacheHierarchy uniqueName="[Table1].[validation_seeking_score]" caption="validation_seeking_score" attribute="1" defaultMemberUniqueName="[Table1].[validation_seeking_score].[All]" allUniqueName="[Table1].[validation_seeking_score].[All]" dimensionUniqueName="[Table1]" displayFolder="" count="0" memberValueDatatype="20" unbalanced="0"/>
    <cacheHierarchy uniqueName="[Table1].[boredom_to_phone_reflex]" caption="boredom_to_phone_reflex" attribute="1" defaultMemberUniqueName="[Table1].[boredom_to_phone_reflex].[All]" allUniqueName="[Table1].[boredom_to_phone_reflex].[All]" dimensionUniqueName="[Table1]" displayFolder="" count="0" memberValueDatatype="130" unbalanced="0"/>
    <cacheHierarchy uniqueName="[Table1].[inability_to_delay_gratification]" caption="inability_to_delay_gratification" attribute="1" defaultMemberUniqueName="[Table1].[inability_to_delay_gratification].[All]" allUniqueName="[Table1].[inability_to_delay_gratification].[All]" dimensionUniqueName="[Table1]" displayFolder="" count="0" memberValueDatatype="130" unbalanced="0"/>
    <cacheHierarchy uniqueName="[Table1].[attention_span_minutes]" caption="attention_span_minutes" attribute="1" defaultMemberUniqueName="[Table1].[attention_span_minutes].[All]" allUniqueName="[Table1].[attention_span_minutes].[All]" dimensionUniqueName="[Table1]" displayFolder="" count="0" memberValueDatatype="20" unbalanced="0"/>
    <cacheHierarchy uniqueName="[Table1].[deep_work_duration_minutes]" caption="deep_work_duration_minutes" attribute="1" defaultMemberUniqueName="[Table1].[deep_work_duration_minutes].[All]" allUniqueName="[Table1].[deep_work_duration_minutes].[All]" dimensionUniqueName="[Table1]" displayFolder="" count="0" memberValueDatatype="20" unbalanced="0"/>
    <cacheHierarchy uniqueName="[Table1].[task_switching_frequency]" caption="task_switching_frequency" attribute="1" defaultMemberUniqueName="[Table1].[task_switching_frequency].[All]" allUniqueName="[Table1].[task_switching_frequency].[All]" dimensionUniqueName="[Table1]" displayFolder="" count="0" memberValueDatatype="130" unbalanced="0"/>
    <cacheHierarchy uniqueName="[Table1].[difficulty_starting_tasks]" caption="difficulty_starting_tasks" attribute="1" defaultMemberUniqueName="[Table1].[difficulty_starting_tasks].[All]" allUniqueName="[Table1].[difficulty_starting_tasks].[All]" dimensionUniqueName="[Table1]" displayFolder="" count="0" memberValueDatatype="130" unbalanced="0"/>
    <cacheHierarchy uniqueName="[Table1].[difficulty_maintaining_focus]" caption="difficulty_maintaining_focus" attribute="1" defaultMemberUniqueName="[Table1].[difficulty_maintaining_focus].[All]" allUniqueName="[Table1].[difficulty_maintaining_focus].[All]" dimensionUniqueName="[Table1]" displayFolder="" count="0" memberValueDatatype="130" unbalanced="0"/>
    <cacheHierarchy uniqueName="[Table1].[mind_wandering_during_work]" caption="mind_wandering_during_work" attribute="1" defaultMemberUniqueName="[Table1].[mind_wandering_during_work].[All]" allUniqueName="[Table1].[mind_wandering_during_work].[All]" dimensionUniqueName="[Table1]" displayFolder="" count="0" memberValueDatatype="130" unbalanced="0"/>
    <cacheHierarchy uniqueName="[Table1].[productivity_self_rating]" caption="productivity_self_rating" attribute="1" defaultMemberUniqueName="[Table1].[productivity_self_rating].[All]" allUniqueName="[Table1].[productivity_self_rating].[All]" dimensionUniqueName="[Table1]" displayFolder="" count="0" memberValueDatatype="20" unbalanced="0"/>
    <cacheHierarchy uniqueName="[Table1].[tasks_completed_per_day]" caption="tasks_completed_per_day" attribute="1" defaultMemberUniqueName="[Table1].[tasks_completed_per_day].[All]" allUniqueName="[Table1].[tasks_completed_per_day].[All]" dimensionUniqueName="[Table1]" displayFolder="" count="0" memberValueDatatype="20" unbalanced="0"/>
    <cacheHierarchy uniqueName="[Table1].[work_quality_self_rating]" caption="work_quality_self_rating" attribute="1" defaultMemberUniqueName="[Table1].[work_quality_self_rating].[All]" allUniqueName="[Table1].[work_quality_self_rating].[All]" dimensionUniqueName="[Table1]" displayFolder="" count="0" memberValueDatatype="20" unbalanced="0"/>
    <cacheHierarchy uniqueName="[Table1].[creative_output_frequency]" caption="creative_output_frequency" attribute="1" defaultMemberUniqueName="[Table1].[creative_output_frequency].[All]" allUniqueName="[Table1].[creative_output_frequency].[All]" dimensionUniqueName="[Table1]" displayFolder="" count="0" memberValueDatatype="130" unbalanced="0"/>
    <cacheHierarchy uniqueName="[Table1].[reading_duration_minutes_per_day]" caption="reading_duration_minutes_per_day" attribute="1" defaultMemberUniqueName="[Table1].[reading_duration_minutes_per_day].[All]" allUniqueName="[Table1].[reading_duration_minutes_per_day].[All]" dimensionUniqueName="[Table1]" displayFolder="" count="0" memberValueDatatype="20" unbalanced="0"/>
    <cacheHierarchy uniqueName="[Table1].[memory_recall_difficulty]" caption="memory_recall_difficulty" attribute="1" defaultMemberUniqueName="[Table1].[memory_recall_difficulty].[All]" allUniqueName="[Table1].[memory_recall_difficulty].[All]" dimensionUniqueName="[Table1]" displayFolder="" count="0" memberValueDatatype="130" unbalanced="0"/>
    <cacheHierarchy uniqueName="[Table1].[learning_retention_difficulty]" caption="learning_retention_difficulty" attribute="1" defaultMemberUniqueName="[Table1].[learning_retention_difficulty].[All]" allUniqueName="[Table1].[learning_retention_difficulty].[All]" dimensionUniqueName="[Table1]" displayFolder="" count="0" memberValueDatatype="130" unbalanced="0"/>
    <cacheHierarchy uniqueName="[Table1].[decision_fatigue_score]" caption="decision_fatigue_score" attribute="1" defaultMemberUniqueName="[Table1].[decision_fatigue_score].[All]" allUniqueName="[Table1].[decision_fatigue_score].[All]" dimensionUniqueName="[Table1]" displayFolder="" count="0" memberValueDatatype="20" unbalanced="0"/>
    <cacheHierarchy uniqueName="[Table1].[mental_fog_frequency]" caption="mental_fog_frequency" attribute="1" defaultMemberUniqueName="[Table1].[mental_fog_frequency].[All]" allUniqueName="[Table1].[mental_fog_frequency].[All]" dimensionUniqueName="[Table1]" displayFolder="" count="0" memberValueDatatype="130" unbalanced="0"/>
    <cacheHierarchy uniqueName="[Table1].[irritability_when_offline]" caption="irritability_when_offline" attribute="1" defaultMemberUniqueName="[Table1].[irritability_when_offline].[All]" allUniqueName="[Table1].[irritability_when_offline].[All]" dimensionUniqueName="[Table1]" displayFolder="" count="0" memberValueDatatype="130" unbalanced="0"/>
    <cacheHierarchy uniqueName="[Table1].[anxiety_when_phone_unavailable]" caption="anxiety_when_phone_unavailable" attribute="1" defaultMemberUniqueName="[Table1].[anxiety_when_phone_unavailable].[All]" allUniqueName="[Table1].[anxiety_when_phone_unavailable].[All]" dimensionUniqueName="[Table1]" displayFolder="" count="0" memberValueDatatype="20" unbalanced="0"/>
    <cacheHierarchy uniqueName="[Table1].[restlessness_score]" caption="restlessness_score" attribute="1" defaultMemberUniqueName="[Table1].[restlessness_score].[All]" allUniqueName="[Table1].[restlessness_score].[All]" dimensionUniqueName="[Table1]" displayFolder="" count="0" memberValueDatatype="20" unbalanced="0"/>
    <cacheHierarchy uniqueName="[Table1].[mood_dependency_on_sm]" caption="mood_dependency_on_sm" attribute="1" defaultMemberUniqueName="[Table1].[mood_dependency_on_sm].[All]" allUniqueName="[Table1].[mood_dependency_on_sm].[All]" dimensionUniqueName="[Table1]" displayFolder="" count="0" memberValueDatatype="130" unbalanced="0"/>
    <cacheHierarchy uniqueName="[Table1].[withdrawal_attempt_count]" caption="withdrawal_attempt_count" attribute="1" defaultMemberUniqueName="[Table1].[withdrawal_attempt_count].[All]" allUniqueName="[Table1].[withdrawal_attempt_count].[All]" dimensionUniqueName="[Table1]" displayFolder="" count="0" memberValueDatatype="20" unbalanced="0"/>
    <cacheHierarchy uniqueName="[Table1].[longest_detox_days]" caption="longest_detox_days" attribute="1" defaultMemberUniqueName="[Table1].[longest_detox_days].[All]" allUniqueName="[Table1].[longest_detox_days].[All]" dimensionUniqueName="[Table1]" displayFolder="" count="0" memberValueDatatype="20" unbalanced="0"/>
    <cacheHierarchy uniqueName="[Table1].[detox_relapse_reason]" caption="detox_relapse_reason" attribute="1" defaultMemberUniqueName="[Table1].[detox_relapse_reason].[All]" allUniqueName="[Table1].[detox_relapse_reason].[All]" dimensionUniqueName="[Table1]" displayFolder="" count="0" memberValueDatatype="20" unbalanced="0"/>
    <cacheHierarchy uniqueName="[Table1].[severity_stage]" caption="severity_stage" attribute="1" defaultMemberUniqueName="[Table1].[severity_stage].[All]" allUniqueName="[Table1].[severity_stage].[All]" dimensionUniqueName="[Table1]" displayFolder="" count="0" memberValueDatatype="130" unbalanced="0"/>
    <cacheHierarchy uniqueName="[Table1].[productivity_decline_score]" caption="productivity_decline_score" attribute="1" defaultMemberUniqueName="[Table1].[productivity_decline_score].[All]" allUniqueName="[Table1].[productivity_decline_score].[All]" dimensionUniqueName="[Table1]" displayFolder="" count="0" memberValueDatatype="130" unbalanced="0"/>
    <cacheHierarchy uniqueName="[Table1].[dopamine_dysregulation_index]" caption="dopamine_dysregulation_index" attribute="1" defaultMemberUniqueName="[Table1].[dopamine_dysregulation_index].[All]" allUniqueName="[Table1].[dopamine_dysregulation_index].[All]" dimensionUniqueName="[Table1]" displayFolder="" count="0" memberValueDatatype="5" unbalanced="0"/>
    <cacheHierarchy uniqueName="[Table1].[digital_wellbeing_score]" caption="digital_wellbeing_score" attribute="1" defaultMemberUniqueName="[Table1].[digital_wellbeing_score].[All]" allUniqueName="[Table1].[digital_wellbeing_score].[All]" dimensionUniqueName="[Table1]" displayFolder="" count="0" memberValueDatatype="5" unbalanced="0"/>
    <cacheHierarchy uniqueName="[Table1].[sm_addiction_risk_score]" caption="sm_addiction_risk_score" attribute="1" defaultMemberUniqueName="[Table1].[sm_addiction_risk_score].[All]" allUniqueName="[Table1].[sm_addiction_risk_score].[All]" dimensionUniqueName="[Table1]" displayFolder="" count="0" memberValueDatatype="5" unbalanced="0"/>
    <cacheHierarchy uniqueName="[Table1].[notes]" caption="notes" attribute="1" defaultMemberUniqueName="[Table1].[notes].[All]" allUniqueName="[Table1].[notes].[All]" dimensionUniqueName="[Table1]" displayFolder="" count="0" memberValueDatatype="5" unbalanced="0"/>
    <cacheHierarchy uniqueName="[Measures].[Count of primary_platform]" caption="Count of primary_platform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tionality]" caption="Count of nationality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_addiction_risk_score]" caption="Sum of sm_addiction_risk_score" measure="1" displayFolder="" measureGroup="Table1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sm_addiction_risk_score]" caption="Average of sm_addiction_risk_score" measure="1" displayFolder="" measureGroup="Table1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participant_id]" caption="Count of participant_id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g_daily_sm_hours]" caption="Sum of avg_daily_sm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avg_daily_sm_hours]" caption="Average of avg_daily_sm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user" refreshedDate="46287.239340277774" backgroundQuery="1" createdVersion="5" refreshedVersion="5" minRefreshableVersion="3" recordCount="0" supportSubquery="1" supportAdvancedDrill="1">
  <cacheSource type="external" connectionId="1"/>
  <cacheFields count="3">
    <cacheField name="[Table1].[employment_status].[employment_status]" caption="employment_status" numFmtId="0" hierarchy="8" level="1">
      <sharedItems count="7">
        <s v="Freelancer"/>
        <s v="Full-time employed"/>
        <s v="Job seeker"/>
        <s v="Part-time employed"/>
        <s v="Retired"/>
        <s v="Self-employed"/>
        <s v="Student"/>
      </sharedItems>
    </cacheField>
    <cacheField name="[Measures].[Count of participant_id]" caption="Count of participant_id" numFmtId="0" hierarchy="69" level="32767"/>
    <cacheField name="[Measures].[Average of avg_daily_sm_hours]" caption="Average of avg_daily_sm_hours" numFmtId="0" hierarchy="71" level="32767"/>
  </cacheFields>
  <cacheHierarchies count="74">
    <cacheHierarchy uniqueName="[Table1].[participant_id]" caption="participant_id" attribute="1" defaultMemberUniqueName="[Table1].[participant_id].[All]" allUniqueName="[Table1].[participant_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age_group]" caption="age_group" attribute="1" defaultMemberUniqueName="[Table1].[age_group].[All]" allUniqueName="[Table1].[age_group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race_ethnicity]" caption="race_ethnicity" attribute="1" defaultMemberUniqueName="[Table1].[race_ethnicity].[All]" allUniqueName="[Table1].[race_ethnicity].[All]" dimensionUniqueName="[Table1]" displayFolder="" count="0" memberValueDatatype="130" unbalanced="0"/>
    <cacheHierarchy uniqueName="[Table1].[nationality]" caption="nationality" attribute="1" defaultMemberUniqueName="[Table1].[nationality].[All]" allUniqueName="[Table1].[nationality].[All]" dimensionUniqueName="[Table1]" displayFolder="" count="0" memberValueDatatype="130" unbalanced="0"/>
    <cacheHierarchy uniqueName="[Table1].[country_of_residence]" caption="country_of_residence" attribute="1" defaultMemberUniqueName="[Table1].[country_of_residence].[All]" allUniqueName="[Table1].[country_of_residence].[All]" dimensionUniqueName="[Table1]" displayFolder="" count="0" memberValueDatatype="130" unbalanced="0"/>
    <cacheHierarchy uniqueName="[Table1].[education_level]" caption="education_level" attribute="1" defaultMemberUniqueName="[Table1].[education_level].[All]" allUniqueName="[Table1].[education_level].[All]" dimensionUniqueName="[Table1]" displayFolder="" count="0" memberValueDatatype="130" unbalanced="0"/>
    <cacheHierarchy uniqueName="[Table1].[employment_status]" caption="employment_status" attribute="1" defaultMemberUniqueName="[Table1].[employment_status].[All]" allUniqueName="[Table1].[employment_statu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occupation_category]" caption="occupation_category" attribute="1" defaultMemberUniqueName="[Table1].[occupation_category].[All]" allUniqueName="[Table1].[occupation_category].[All]" dimensionUniqueName="[Table1]" displayFolder="" count="0" memberValueDatatype="130" unbalanced="0"/>
    <cacheHierarchy uniqueName="[Table1].[relationship_status]" caption="relationship_status" attribute="1" defaultMemberUniqueName="[Table1].[relationship_status].[All]" allUniqueName="[Table1].[relationship_status].[All]" dimensionUniqueName="[Table1]" displayFolder="" count="0" memberValueDatatype="130" unbalanced="0"/>
    <cacheHierarchy uniqueName="[Table1].[avg_daily_sm_hours]" caption="avg_daily_sm_hours" attribute="1" defaultMemberUniqueName="[Table1].[avg_daily_sm_hours].[All]" allUniqueName="[Table1].[avg_daily_sm_hours].[All]" dimensionUniqueName="[Table1]" displayFolder="" count="0" memberValueDatatype="5" unbalanced="0"/>
    <cacheHierarchy uniqueName="[Table1].[years_on_social_media]" caption="years_on_social_media" attribute="1" defaultMemberUniqueName="[Table1].[years_on_social_media].[All]" allUniqueName="[Table1].[years_on_social_media].[All]" dimensionUniqueName="[Table1]" displayFolder="" count="0" memberValueDatatype="20" unbalanced="0"/>
    <cacheHierarchy uniqueName="[Table1].[primary_platform]" caption="primary_platform" attribute="1" defaultMemberUniqueName="[Table1].[primary_platform].[All]" allUniqueName="[Table1].[primary_platform].[All]" dimensionUniqueName="[Table1]" displayFolder="" count="0" memberValueDatatype="130" unbalanced="0"/>
    <cacheHierarchy uniqueName="[Table1].[secondary_platform]" caption="secondary_platform" attribute="1" defaultMemberUniqueName="[Table1].[secondary_platform].[All]" allUniqueName="[Table1].[secondary_platform].[All]" dimensionUniqueName="[Table1]" displayFolder="" count="0" memberValueDatatype="130" unbalanced="0"/>
    <cacheHierarchy uniqueName="[Table1].[daily_check_frequency]" caption="daily_check_frequency" attribute="1" defaultMemberUniqueName="[Table1].[daily_check_frequency].[All]" allUniqueName="[Table1].[daily_check_frequency].[All]" dimensionUniqueName="[Table1]" displayFolder="" count="0" memberValueDatatype="130" unbalanced="0"/>
    <cacheHierarchy uniqueName="[Table1].[first_check_of_day]" caption="first_check_of_day" attribute="1" defaultMemberUniqueName="[Table1].[first_check_of_day].[All]" allUniqueName="[Table1].[first_check_of_day].[All]" dimensionUniqueName="[Table1]" displayFolder="" count="0" memberValueDatatype="130" unbalanced="0"/>
    <cacheHierarchy uniqueName="[Table1].[late_night_scrolling]" caption="late_night_scrolling" attribute="1" defaultMemberUniqueName="[Table1].[late_night_scrolling].[All]" allUniqueName="[Table1].[late_night_scrolling].[All]" dimensionUniqueName="[Table1]" displayFolder="" count="0" memberValueDatatype="130" unbalanced="0"/>
    <cacheHierarchy uniqueName="[Table1].[sm_during_work_study]" caption="sm_during_work_study" attribute="1" defaultMemberUniqueName="[Table1].[sm_during_work_study].[All]" allUniqueName="[Table1].[sm_during_work_study].[All]" dimensionUniqueName="[Table1]" displayFolder="" count="0" memberValueDatatype="130" unbalanced="0"/>
    <cacheHierarchy uniqueName="[Table1].[sm_during_meals]" caption="sm_during_meals" attribute="1" defaultMemberUniqueName="[Table1].[sm_during_meals].[All]" allUniqueName="[Table1].[sm_during_meals].[All]" dimensionUniqueName="[Table1]" displayFolder="" count="0" memberValueDatatype="130" unbalanced="0"/>
    <cacheHierarchy uniqueName="[Table1].[notifications_always_on]" caption="notifications_always_on" attribute="1" defaultMemberUniqueName="[Table1].[notifications_always_on].[All]" allUniqueName="[Table1].[notifications_always_on].[All]" dimensionUniqueName="[Table1]" displayFolder="" count="0" memberValueDatatype="130" unbalanced="0"/>
    <cacheHierarchy uniqueName="[Table1].[scroll_without_purpose]" caption="scroll_without_purpose" attribute="1" defaultMemberUniqueName="[Table1].[scroll_without_purpose].[All]" allUniqueName="[Table1].[scroll_without_purpose].[All]" dimensionUniqueName="[Table1]" displayFolder="" count="0" memberValueDatatype="130" unbalanced="0"/>
    <cacheHierarchy uniqueName="[Table1].[doomscrolling_frequency]" caption="doomscrolling_frequency" attribute="1" defaultMemberUniqueName="[Table1].[doomscrolling_frequency].[All]" allUniqueName="[Table1].[doomscrolling_frequency].[All]" dimensionUniqueName="[Table1]" displayFolder="" count="0" memberValueDatatype="130" unbalanced="0"/>
    <cacheHierarchy uniqueName="[Table1].[content_type_consumed]" caption="content_type_consumed" attribute="1" defaultMemberUniqueName="[Table1].[content_type_consumed].[All]" allUniqueName="[Table1].[content_type_consumed].[All]" dimensionUniqueName="[Table1]" displayFolder="" count="0" memberValueDatatype="130" unbalanced="0"/>
    <cacheHierarchy uniqueName="[Table1].[avg_daily_screen_time_hours]" caption="avg_daily_screen_time_hours" attribute="1" defaultMemberUniqueName="[Table1].[avg_daily_screen_time_hours].[All]" allUniqueName="[Table1].[avg_daily_screen_time_hours].[All]" dimensionUniqueName="[Table1]" displayFolder="" count="0" memberValueDatatype="5" unbalanced="0"/>
    <cacheHierarchy uniqueName="[Table1].[avg_sleep_hours]" caption="avg_sleep_hours" attribute="1" defaultMemberUniqueName="[Table1].[avg_sleep_hours].[All]" allUniqueName="[Table1].[avg_sleep_hours].[All]" dimensionUniqueName="[Table1]" displayFolder="" count="0" memberValueDatatype="5" unbalanced="0"/>
    <cacheHierarchy uniqueName="[Table1].[sleep_quality]" caption="sleep_quality" attribute="1" defaultMemberUniqueName="[Table1].[sleep_quality].[All]" allUniqueName="[Table1].[sleep_quality].[All]" dimensionUniqueName="[Table1]" displayFolder="" count="0" memberValueDatatype="130" unbalanced="0"/>
    <cacheHierarchy uniqueName="[Table1].[exercise_frequency]" caption="exercise_frequency" attribute="1" defaultMemberUniqueName="[Table1].[exercise_frequency].[All]" allUniqueName="[Table1].[exercise_frequency].[All]" dimensionUniqueName="[Table1]" displayFolder="" count="0" memberValueDatatype="130" unbalanced="0"/>
    <cacheHierarchy uniqueName="[Table1].[avg_work_study_hours_per_day]" caption="avg_work_study_hours_per_day" attribute="1" defaultMemberUniqueName="[Table1].[avg_work_study_hours_per_day].[All]" allUniqueName="[Table1].[avg_work_study_hours_per_day].[All]" dimensionUniqueName="[Table1]" displayFolder="" count="0" memberValueDatatype="5" unbalanced="0"/>
    <cacheHierarchy uniqueName="[Table1].[dopamine_rush_feel_score]" caption="dopamine_rush_feel_score" attribute="1" defaultMemberUniqueName="[Table1].[dopamine_rush_feel_score].[All]" allUniqueName="[Table1].[dopamine_rush_feel_score].[All]" dimensionUniqueName="[Table1]" displayFolder="" count="0" memberValueDatatype="20" unbalanced="0"/>
    <cacheHierarchy uniqueName="[Table1].[reward_seeking_behavior]" caption="reward_seeking_behavior" attribute="1" defaultMemberUniqueName="[Table1].[reward_seeking_behavior].[All]" allUniqueName="[Table1].[reward_seeking_behavior].[All]" dimensionUniqueName="[Table1]" displayFolder="" count="0" memberValueDatatype="20" unbalanced="0"/>
    <cacheHierarchy uniqueName="[Table1].[fomo_score]" caption="fomo_score" attribute="1" defaultMemberUniqueName="[Table1].[fomo_score].[All]" allUniqueName="[Table1].[fomo_score].[All]" dimensionUniqueName="[Table1]" displayFolder="" count="0" memberValueDatatype="20" unbalanced="0"/>
    <cacheHierarchy uniqueName="[Table1].[comparison_to_others_score]" caption="comparison_to_others_score" attribute="1" defaultMemberUniqueName="[Table1].[comparison_to_others_score].[All]" allUniqueName="[Table1].[comparison_to_others_score].[All]" dimensionUniqueName="[Table1]" displayFolder="" count="0" memberValueDatatype="20" unbalanced="0"/>
    <cacheHierarchy uniqueName="[Table1].[validation_seeking_score]" caption="validation_seeking_score" attribute="1" defaultMemberUniqueName="[Table1].[validation_seeking_score].[All]" allUniqueName="[Table1].[validation_seeking_score].[All]" dimensionUniqueName="[Table1]" displayFolder="" count="0" memberValueDatatype="20" unbalanced="0"/>
    <cacheHierarchy uniqueName="[Table1].[boredom_to_phone_reflex]" caption="boredom_to_phone_reflex" attribute="1" defaultMemberUniqueName="[Table1].[boredom_to_phone_reflex].[All]" allUniqueName="[Table1].[boredom_to_phone_reflex].[All]" dimensionUniqueName="[Table1]" displayFolder="" count="0" memberValueDatatype="130" unbalanced="0"/>
    <cacheHierarchy uniqueName="[Table1].[inability_to_delay_gratification]" caption="inability_to_delay_gratification" attribute="1" defaultMemberUniqueName="[Table1].[inability_to_delay_gratification].[All]" allUniqueName="[Table1].[inability_to_delay_gratification].[All]" dimensionUniqueName="[Table1]" displayFolder="" count="0" memberValueDatatype="130" unbalanced="0"/>
    <cacheHierarchy uniqueName="[Table1].[attention_span_minutes]" caption="attention_span_minutes" attribute="1" defaultMemberUniqueName="[Table1].[attention_span_minutes].[All]" allUniqueName="[Table1].[attention_span_minutes].[All]" dimensionUniqueName="[Table1]" displayFolder="" count="0" memberValueDatatype="20" unbalanced="0"/>
    <cacheHierarchy uniqueName="[Table1].[deep_work_duration_minutes]" caption="deep_work_duration_minutes" attribute="1" defaultMemberUniqueName="[Table1].[deep_work_duration_minutes].[All]" allUniqueName="[Table1].[deep_work_duration_minutes].[All]" dimensionUniqueName="[Table1]" displayFolder="" count="0" memberValueDatatype="20" unbalanced="0"/>
    <cacheHierarchy uniqueName="[Table1].[task_switching_frequency]" caption="task_switching_frequency" attribute="1" defaultMemberUniqueName="[Table1].[task_switching_frequency].[All]" allUniqueName="[Table1].[task_switching_frequency].[All]" dimensionUniqueName="[Table1]" displayFolder="" count="0" memberValueDatatype="130" unbalanced="0"/>
    <cacheHierarchy uniqueName="[Table1].[difficulty_starting_tasks]" caption="difficulty_starting_tasks" attribute="1" defaultMemberUniqueName="[Table1].[difficulty_starting_tasks].[All]" allUniqueName="[Table1].[difficulty_starting_tasks].[All]" dimensionUniqueName="[Table1]" displayFolder="" count="0" memberValueDatatype="130" unbalanced="0"/>
    <cacheHierarchy uniqueName="[Table1].[difficulty_maintaining_focus]" caption="difficulty_maintaining_focus" attribute="1" defaultMemberUniqueName="[Table1].[difficulty_maintaining_focus].[All]" allUniqueName="[Table1].[difficulty_maintaining_focus].[All]" dimensionUniqueName="[Table1]" displayFolder="" count="0" memberValueDatatype="130" unbalanced="0"/>
    <cacheHierarchy uniqueName="[Table1].[mind_wandering_during_work]" caption="mind_wandering_during_work" attribute="1" defaultMemberUniqueName="[Table1].[mind_wandering_during_work].[All]" allUniqueName="[Table1].[mind_wandering_during_work].[All]" dimensionUniqueName="[Table1]" displayFolder="" count="0" memberValueDatatype="130" unbalanced="0"/>
    <cacheHierarchy uniqueName="[Table1].[productivity_self_rating]" caption="productivity_self_rating" attribute="1" defaultMemberUniqueName="[Table1].[productivity_self_rating].[All]" allUniqueName="[Table1].[productivity_self_rating].[All]" dimensionUniqueName="[Table1]" displayFolder="" count="0" memberValueDatatype="20" unbalanced="0"/>
    <cacheHierarchy uniqueName="[Table1].[tasks_completed_per_day]" caption="tasks_completed_per_day" attribute="1" defaultMemberUniqueName="[Table1].[tasks_completed_per_day].[All]" allUniqueName="[Table1].[tasks_completed_per_day].[All]" dimensionUniqueName="[Table1]" displayFolder="" count="0" memberValueDatatype="20" unbalanced="0"/>
    <cacheHierarchy uniqueName="[Table1].[work_quality_self_rating]" caption="work_quality_self_rating" attribute="1" defaultMemberUniqueName="[Table1].[work_quality_self_rating].[All]" allUniqueName="[Table1].[work_quality_self_rating].[All]" dimensionUniqueName="[Table1]" displayFolder="" count="0" memberValueDatatype="20" unbalanced="0"/>
    <cacheHierarchy uniqueName="[Table1].[creative_output_frequency]" caption="creative_output_frequency" attribute="1" defaultMemberUniqueName="[Table1].[creative_output_frequency].[All]" allUniqueName="[Table1].[creative_output_frequency].[All]" dimensionUniqueName="[Table1]" displayFolder="" count="0" memberValueDatatype="130" unbalanced="0"/>
    <cacheHierarchy uniqueName="[Table1].[reading_duration_minutes_per_day]" caption="reading_duration_minutes_per_day" attribute="1" defaultMemberUniqueName="[Table1].[reading_duration_minutes_per_day].[All]" allUniqueName="[Table1].[reading_duration_minutes_per_day].[All]" dimensionUniqueName="[Table1]" displayFolder="" count="0" memberValueDatatype="20" unbalanced="0"/>
    <cacheHierarchy uniqueName="[Table1].[memory_recall_difficulty]" caption="memory_recall_difficulty" attribute="1" defaultMemberUniqueName="[Table1].[memory_recall_difficulty].[All]" allUniqueName="[Table1].[memory_recall_difficulty].[All]" dimensionUniqueName="[Table1]" displayFolder="" count="0" memberValueDatatype="130" unbalanced="0"/>
    <cacheHierarchy uniqueName="[Table1].[learning_retention_difficulty]" caption="learning_retention_difficulty" attribute="1" defaultMemberUniqueName="[Table1].[learning_retention_difficulty].[All]" allUniqueName="[Table1].[learning_retention_difficulty].[All]" dimensionUniqueName="[Table1]" displayFolder="" count="0" memberValueDatatype="130" unbalanced="0"/>
    <cacheHierarchy uniqueName="[Table1].[decision_fatigue_score]" caption="decision_fatigue_score" attribute="1" defaultMemberUniqueName="[Table1].[decision_fatigue_score].[All]" allUniqueName="[Table1].[decision_fatigue_score].[All]" dimensionUniqueName="[Table1]" displayFolder="" count="0" memberValueDatatype="20" unbalanced="0"/>
    <cacheHierarchy uniqueName="[Table1].[mental_fog_frequency]" caption="mental_fog_frequency" attribute="1" defaultMemberUniqueName="[Table1].[mental_fog_frequency].[All]" allUniqueName="[Table1].[mental_fog_frequency].[All]" dimensionUniqueName="[Table1]" displayFolder="" count="0" memberValueDatatype="130" unbalanced="0"/>
    <cacheHierarchy uniqueName="[Table1].[irritability_when_offline]" caption="irritability_when_offline" attribute="1" defaultMemberUniqueName="[Table1].[irritability_when_offline].[All]" allUniqueName="[Table1].[irritability_when_offline].[All]" dimensionUniqueName="[Table1]" displayFolder="" count="0" memberValueDatatype="130" unbalanced="0"/>
    <cacheHierarchy uniqueName="[Table1].[anxiety_when_phone_unavailable]" caption="anxiety_when_phone_unavailable" attribute="1" defaultMemberUniqueName="[Table1].[anxiety_when_phone_unavailable].[All]" allUniqueName="[Table1].[anxiety_when_phone_unavailable].[All]" dimensionUniqueName="[Table1]" displayFolder="" count="0" memberValueDatatype="20" unbalanced="0"/>
    <cacheHierarchy uniqueName="[Table1].[restlessness_score]" caption="restlessness_score" attribute="1" defaultMemberUniqueName="[Table1].[restlessness_score].[All]" allUniqueName="[Table1].[restlessness_score].[All]" dimensionUniqueName="[Table1]" displayFolder="" count="0" memberValueDatatype="20" unbalanced="0"/>
    <cacheHierarchy uniqueName="[Table1].[mood_dependency_on_sm]" caption="mood_dependency_on_sm" attribute="1" defaultMemberUniqueName="[Table1].[mood_dependency_on_sm].[All]" allUniqueName="[Table1].[mood_dependency_on_sm].[All]" dimensionUniqueName="[Table1]" displayFolder="" count="0" memberValueDatatype="130" unbalanced="0"/>
    <cacheHierarchy uniqueName="[Table1].[withdrawal_attempt_count]" caption="withdrawal_attempt_count" attribute="1" defaultMemberUniqueName="[Table1].[withdrawal_attempt_count].[All]" allUniqueName="[Table1].[withdrawal_attempt_count].[All]" dimensionUniqueName="[Table1]" displayFolder="" count="0" memberValueDatatype="20" unbalanced="0"/>
    <cacheHierarchy uniqueName="[Table1].[longest_detox_days]" caption="longest_detox_days" attribute="1" defaultMemberUniqueName="[Table1].[longest_detox_days].[All]" allUniqueName="[Table1].[longest_detox_days].[All]" dimensionUniqueName="[Table1]" displayFolder="" count="0" memberValueDatatype="20" unbalanced="0"/>
    <cacheHierarchy uniqueName="[Table1].[detox_relapse_reason]" caption="detox_relapse_reason" attribute="1" defaultMemberUniqueName="[Table1].[detox_relapse_reason].[All]" allUniqueName="[Table1].[detox_relapse_reason].[All]" dimensionUniqueName="[Table1]" displayFolder="" count="0" memberValueDatatype="20" unbalanced="0"/>
    <cacheHierarchy uniqueName="[Table1].[severity_stage]" caption="severity_stage" attribute="1" defaultMemberUniqueName="[Table1].[severity_stage].[All]" allUniqueName="[Table1].[severity_stage].[All]" dimensionUniqueName="[Table1]" displayFolder="" count="0" memberValueDatatype="130" unbalanced="0"/>
    <cacheHierarchy uniqueName="[Table1].[productivity_decline_score]" caption="productivity_decline_score" attribute="1" defaultMemberUniqueName="[Table1].[productivity_decline_score].[All]" allUniqueName="[Table1].[productivity_decline_score].[All]" dimensionUniqueName="[Table1]" displayFolder="" count="0" memberValueDatatype="130" unbalanced="0"/>
    <cacheHierarchy uniqueName="[Table1].[dopamine_dysregulation_index]" caption="dopamine_dysregulation_index" attribute="1" defaultMemberUniqueName="[Table1].[dopamine_dysregulation_index].[All]" allUniqueName="[Table1].[dopamine_dysregulation_index].[All]" dimensionUniqueName="[Table1]" displayFolder="" count="0" memberValueDatatype="5" unbalanced="0"/>
    <cacheHierarchy uniqueName="[Table1].[digital_wellbeing_score]" caption="digital_wellbeing_score" attribute="1" defaultMemberUniqueName="[Table1].[digital_wellbeing_score].[All]" allUniqueName="[Table1].[digital_wellbeing_score].[All]" dimensionUniqueName="[Table1]" displayFolder="" count="0" memberValueDatatype="5" unbalanced="0"/>
    <cacheHierarchy uniqueName="[Table1].[sm_addiction_risk_score]" caption="sm_addiction_risk_score" attribute="1" defaultMemberUniqueName="[Table1].[sm_addiction_risk_score].[All]" allUniqueName="[Table1].[sm_addiction_risk_score].[All]" dimensionUniqueName="[Table1]" displayFolder="" count="0" memberValueDatatype="5" unbalanced="0"/>
    <cacheHierarchy uniqueName="[Table1].[notes]" caption="notes" attribute="1" defaultMemberUniqueName="[Table1].[notes].[All]" allUniqueName="[Table1].[notes].[All]" dimensionUniqueName="[Table1]" displayFolder="" count="0" memberValueDatatype="5" unbalanced="0"/>
    <cacheHierarchy uniqueName="[Measures].[Count of primary_platform]" caption="Count of primary_platform" measure="1" displayFolder="" measureGroup="Table1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age]" caption="Sum of age" measure="1" displayFolder="" measureGroup="Table1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nationality]" caption="Count of nationality" measure="1" displayFolder="" measureGroup="Table1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sm_addiction_risk_score]" caption="Sum of sm_addiction_risk_score" measure="1" displayFolder="" measureGroup="Table1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sm_addiction_risk_score]" caption="Average of sm_addiction_risk_score" measure="1" displayFolder="" measureGroup="Table1" count="0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Count of participant_id]" caption="Count of participant_id" measure="1" displayFolder="" measureGroup="Table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vg_daily_sm_hours]" caption="Sum of avg_daily_sm_hours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avg_daily_sm_hours]" caption="Average of avg_daily_sm_hours" measure="1" displayFolder="" measureGroup="Table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__XL_Count Table1]" caption="__XL_Count Table1" measure="1" displayFolder="" measureGroup="Table1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outline="1" outlineData="1" multipleFieldFilters="0">
  <location ref="A3:B13" firstHeaderRow="1" firstDataRow="1" firstDataCol="1"/>
  <pivotFields count="2">
    <pivotField axis="axisRow" allDrilled="1" showAll="0" sortType="descending" defaultAttributeDrillState="1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">
    <i>
      <x v="2"/>
    </i>
    <i>
      <x v="1"/>
    </i>
    <i>
      <x v="8"/>
    </i>
    <i>
      <x v="3"/>
    </i>
    <i>
      <x v="5"/>
    </i>
    <i>
      <x v="7"/>
    </i>
    <i>
      <x v="6"/>
    </i>
    <i>
      <x/>
    </i>
    <i>
      <x v="4"/>
    </i>
    <i t="grand">
      <x/>
    </i>
  </rowItems>
  <colItems count="1">
    <i/>
  </colItems>
  <dataFields count="1">
    <dataField name="Count of primary_platform" fld="1" subtotal="count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dopamine_productivity.xlsx!Table1">
        <x15:activeTabTopLevelEntity name="[Table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43" firstHeaderRow="1" firstDataRow="1" firstDataCol="1"/>
  <pivotFields count="2">
    <pivotField axis="axisRow" allDrilled="1" showAll="0" sortType="descending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0">
    <i>
      <x v="14"/>
    </i>
    <i>
      <x v="32"/>
    </i>
    <i>
      <x v="2"/>
    </i>
    <i>
      <x v="13"/>
    </i>
    <i>
      <x v="20"/>
    </i>
    <i>
      <x v="11"/>
    </i>
    <i>
      <x v="5"/>
    </i>
    <i>
      <x v="30"/>
    </i>
    <i>
      <x v="8"/>
    </i>
    <i>
      <x v="38"/>
    </i>
    <i>
      <x v="1"/>
    </i>
    <i>
      <x v="19"/>
    </i>
    <i>
      <x v="7"/>
    </i>
    <i>
      <x v="4"/>
    </i>
    <i>
      <x v="26"/>
    </i>
    <i>
      <x v="27"/>
    </i>
    <i>
      <x v="15"/>
    </i>
    <i>
      <x v="17"/>
    </i>
    <i>
      <x v="22"/>
    </i>
    <i>
      <x v="16"/>
    </i>
    <i>
      <x/>
    </i>
    <i>
      <x v="9"/>
    </i>
    <i>
      <x v="6"/>
    </i>
    <i>
      <x v="37"/>
    </i>
    <i>
      <x v="33"/>
    </i>
    <i>
      <x v="21"/>
    </i>
    <i>
      <x v="23"/>
    </i>
    <i>
      <x v="10"/>
    </i>
    <i>
      <x v="25"/>
    </i>
    <i>
      <x v="34"/>
    </i>
    <i>
      <x v="31"/>
    </i>
    <i>
      <x v="29"/>
    </i>
    <i>
      <x v="12"/>
    </i>
    <i>
      <x v="36"/>
    </i>
    <i>
      <x v="24"/>
    </i>
    <i>
      <x v="35"/>
    </i>
    <i>
      <x v="18"/>
    </i>
    <i>
      <x v="3"/>
    </i>
    <i>
      <x v="28"/>
    </i>
    <i t="grand">
      <x/>
    </i>
  </rowItems>
  <colItems count="1">
    <i/>
  </colItems>
  <dataFields count="1">
    <dataField name="Average of sm_addiction_risk_score" fld="1" subtotal="average" baseField="0" baseItem="0" numFmtId="164"/>
  </dataFields>
  <formats count="1">
    <format dxfId="1">
      <pivotArea outline="0" collapsedLevelsAreSubtotals="1" fieldPosition="0"/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dopamine_productivity.xlsx!Table1"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43" firstHeaderRow="1" firstDataRow="1" firstDataCol="1"/>
  <pivotFields count="2">
    <pivotField axis="axisRow" allDrilled="1" showAll="0" dataSourceSort="1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Count of nationality" fld="1" subtotal="count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dopamine_productivity.xlsx!Table1">
        <x15:activeTabTopLevelEntity name="[Table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1" firstHeaderRow="1" firstDataRow="1" firstDataCol="1"/>
  <pivotFields count="2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articipant_id" fld="1" subtotal="count" baseField="0" baseItem="0"/>
  </dataField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dopamine_productivity.xlsx!Table1">
        <x15:activeTabTopLevelEntity name="[Table1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1" firstHeaderRow="0" firstDataRow="1" firstDataCol="1"/>
  <pivotFields count="3">
    <pivotField axis="axisRow" allDrilled="1" showAll="0" dataSourceSort="1" defaultAttributeDrillState="1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rticipant_id" fld="1" subtotal="count" baseField="0" baseItem="0"/>
    <dataField name=" avg_daily_sm_hours" fld="2" subtotal="average" baseField="0" baseItem="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Hierarchies count="7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 avg_daily_sm_hours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ocial_media_dopamine_productivity.xlsx!Table1">
        <x15:activeTabTopLevelEntity name="[Table1]"/>
      </x15:pivotTableUISettings>
    </ext>
  </extLst>
</pivotTableDefinition>
</file>

<file path=xl/tables/table1.xml><?xml version="1.0" encoding="utf-8"?>
<table xmlns="http://schemas.openxmlformats.org/spreadsheetml/2006/main" id="1" name="Table1" displayName="Table1" ref="A1:BL301" totalsRowShown="0">
  <autoFilter ref="A1:BL3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</autoFilter>
  <tableColumns count="64">
    <tableColumn id="1" name="participant_id"/>
    <tableColumn id="2" name="age"/>
    <tableColumn id="3" name="age_group"/>
    <tableColumn id="4" name="gender"/>
    <tableColumn id="5" name="race_ethnicity"/>
    <tableColumn id="6" name="nationality"/>
    <tableColumn id="7" name="country_of_residence"/>
    <tableColumn id="8" name="education_level"/>
    <tableColumn id="9" name="employment_status"/>
    <tableColumn id="10" name="occupation_category"/>
    <tableColumn id="11" name="relationship_status"/>
    <tableColumn id="12" name="avg_daily_sm_hours"/>
    <tableColumn id="13" name="years_on_social_media"/>
    <tableColumn id="14" name="primary_platform"/>
    <tableColumn id="15" name="secondary_platform"/>
    <tableColumn id="16" name="daily_check_frequency"/>
    <tableColumn id="17" name="first_check_of_day"/>
    <tableColumn id="18" name="late_night_scrolling"/>
    <tableColumn id="19" name="sm_during_work_study"/>
    <tableColumn id="20" name="sm_during_meals"/>
    <tableColumn id="21" name="notifications_always_on"/>
    <tableColumn id="22" name="scroll_without_purpose"/>
    <tableColumn id="23" name="doomscrolling_frequency"/>
    <tableColumn id="24" name="content_type_consumed"/>
    <tableColumn id="25" name="avg_daily_screen_time_hours"/>
    <tableColumn id="26" name="avg_sleep_hours"/>
    <tableColumn id="27" name="sleep_quality"/>
    <tableColumn id="28" name="exercise_frequency"/>
    <tableColumn id="29" name="avg_work_study_hours_per_day"/>
    <tableColumn id="30" name="dopamine_rush_feel_score"/>
    <tableColumn id="31" name="reward_seeking_behavior"/>
    <tableColumn id="32" name="fomo_score"/>
    <tableColumn id="33" name="comparison_to_others_score"/>
    <tableColumn id="34" name="validation_seeking_score"/>
    <tableColumn id="35" name="boredom_to_phone_reflex"/>
    <tableColumn id="36" name="inability_to_delay_gratification"/>
    <tableColumn id="37" name="attention_span_minutes"/>
    <tableColumn id="38" name="deep_work_duration_minutes"/>
    <tableColumn id="39" name="task_switching_frequency"/>
    <tableColumn id="40" name="difficulty_starting_tasks"/>
    <tableColumn id="41" name="difficulty_maintaining_focus"/>
    <tableColumn id="42" name="mind_wandering_during_work"/>
    <tableColumn id="43" name="productivity_self_rating"/>
    <tableColumn id="44" name="tasks_completed_per_day"/>
    <tableColumn id="45" name="work_quality_self_rating"/>
    <tableColumn id="46" name="creative_output_frequency"/>
    <tableColumn id="47" name="reading_duration_minutes_per_day"/>
    <tableColumn id="48" name="memory_recall_difficulty"/>
    <tableColumn id="49" name="learning_retention_difficulty"/>
    <tableColumn id="50" name="decision_fatigue_score"/>
    <tableColumn id="51" name="mental_fog_frequency"/>
    <tableColumn id="52" name="irritability_when_offline"/>
    <tableColumn id="53" name="anxiety_when_phone_unavailable"/>
    <tableColumn id="54" name="restlessness_score"/>
    <tableColumn id="55" name="mood_dependency_on_sm"/>
    <tableColumn id="56" name="withdrawal_attempt_count"/>
    <tableColumn id="57" name="longest_detox_days"/>
    <tableColumn id="58" name="detox_relapse_reason"/>
    <tableColumn id="59" name="severity_stage"/>
    <tableColumn id="60" name="productivity_decline_score"/>
    <tableColumn id="61" name="dopamine_dysregulation_index"/>
    <tableColumn id="62" name="digital_wellbeing_score"/>
    <tableColumn id="63" name="sm_addiction_risk_score"/>
    <tableColumn id="6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x14ac:dyDescent="0.25"/>
  <cols>
    <col min="1" max="1" width="14" customWidth="1"/>
    <col min="2" max="2" width="25" customWidth="1"/>
    <col min="3" max="7" width="5.7109375" customWidth="1"/>
    <col min="8" max="8" width="4" customWidth="1"/>
    <col min="9" max="9" width="11.28515625" customWidth="1"/>
    <col min="10" max="62" width="3" customWidth="1"/>
    <col min="63" max="63" width="11.28515625" bestFit="1" customWidth="1"/>
  </cols>
  <sheetData>
    <row r="1" spans="1:2" x14ac:dyDescent="0.25">
      <c r="A1" t="s">
        <v>640</v>
      </c>
    </row>
    <row r="3" spans="1:2" x14ac:dyDescent="0.25">
      <c r="A3" s="1" t="s">
        <v>637</v>
      </c>
      <c r="B3" t="s">
        <v>639</v>
      </c>
    </row>
    <row r="4" spans="1:2" x14ac:dyDescent="0.25">
      <c r="A4" s="2" t="s">
        <v>74</v>
      </c>
      <c r="B4" s="3">
        <v>95</v>
      </c>
    </row>
    <row r="5" spans="1:2" x14ac:dyDescent="0.25">
      <c r="A5" s="2" t="s">
        <v>135</v>
      </c>
      <c r="B5" s="3">
        <v>89</v>
      </c>
    </row>
    <row r="6" spans="1:2" x14ac:dyDescent="0.25">
      <c r="A6" s="2" t="s">
        <v>75</v>
      </c>
      <c r="B6" s="3">
        <v>50</v>
      </c>
    </row>
    <row r="7" spans="1:2" x14ac:dyDescent="0.25">
      <c r="A7" s="2" t="s">
        <v>272</v>
      </c>
      <c r="B7" s="3">
        <v>26</v>
      </c>
    </row>
    <row r="8" spans="1:2" x14ac:dyDescent="0.25">
      <c r="A8" s="2" t="s">
        <v>93</v>
      </c>
      <c r="B8" s="3">
        <v>21</v>
      </c>
    </row>
    <row r="9" spans="1:2" x14ac:dyDescent="0.25">
      <c r="A9" s="2" t="s">
        <v>168</v>
      </c>
      <c r="B9" s="3">
        <v>12</v>
      </c>
    </row>
    <row r="10" spans="1:2" x14ac:dyDescent="0.25">
      <c r="A10" s="2" t="s">
        <v>130</v>
      </c>
      <c r="B10" s="3">
        <v>5</v>
      </c>
    </row>
    <row r="11" spans="1:2" x14ac:dyDescent="0.25">
      <c r="A11" s="2" t="s">
        <v>214</v>
      </c>
      <c r="B11" s="3">
        <v>1</v>
      </c>
    </row>
    <row r="12" spans="1:2" x14ac:dyDescent="0.25">
      <c r="A12" s="2" t="s">
        <v>110</v>
      </c>
      <c r="B12" s="3">
        <v>1</v>
      </c>
    </row>
    <row r="13" spans="1:2" x14ac:dyDescent="0.25">
      <c r="A13" s="2" t="s">
        <v>638</v>
      </c>
      <c r="B13" s="3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/>
  </sheetViews>
  <sheetFormatPr defaultRowHeight="15" x14ac:dyDescent="0.25"/>
  <cols>
    <col min="1" max="1" width="13.140625" customWidth="1"/>
    <col min="2" max="2" width="33.42578125" bestFit="1" customWidth="1"/>
  </cols>
  <sheetData>
    <row r="1" spans="1:2" x14ac:dyDescent="0.25">
      <c r="A1" t="s">
        <v>642</v>
      </c>
    </row>
    <row r="3" spans="1:2" x14ac:dyDescent="0.25">
      <c r="A3" s="1" t="s">
        <v>637</v>
      </c>
      <c r="B3" t="s">
        <v>643</v>
      </c>
    </row>
    <row r="4" spans="1:2" x14ac:dyDescent="0.25">
      <c r="A4" s="2" t="s">
        <v>190</v>
      </c>
      <c r="B4" s="4">
        <v>8.2111111111111121</v>
      </c>
    </row>
    <row r="5" spans="1:2" x14ac:dyDescent="0.25">
      <c r="A5" s="2" t="s">
        <v>260</v>
      </c>
      <c r="B5" s="4">
        <v>7.3599999999999994</v>
      </c>
    </row>
    <row r="6" spans="1:2" x14ac:dyDescent="0.25">
      <c r="A6" s="2" t="s">
        <v>141</v>
      </c>
      <c r="B6" s="4">
        <v>7.3166666666666664</v>
      </c>
    </row>
    <row r="7" spans="1:2" x14ac:dyDescent="0.25">
      <c r="A7" s="2" t="s">
        <v>204</v>
      </c>
      <c r="B7" s="4">
        <v>7.2166666666666659</v>
      </c>
    </row>
    <row r="8" spans="1:2" x14ac:dyDescent="0.25">
      <c r="A8" s="2" t="s">
        <v>138</v>
      </c>
      <c r="B8" s="4">
        <v>7.1714285714285717</v>
      </c>
    </row>
    <row r="9" spans="1:2" x14ac:dyDescent="0.25">
      <c r="A9" s="2" t="s">
        <v>201</v>
      </c>
      <c r="B9" s="4">
        <v>7.1599999999999993</v>
      </c>
    </row>
    <row r="10" spans="1:2" x14ac:dyDescent="0.25">
      <c r="A10" s="2" t="s">
        <v>122</v>
      </c>
      <c r="B10" s="4">
        <v>7.1499999999999995</v>
      </c>
    </row>
    <row r="11" spans="1:2" x14ac:dyDescent="0.25">
      <c r="A11" s="2" t="s">
        <v>163</v>
      </c>
      <c r="B11" s="4">
        <v>7.0750000000000002</v>
      </c>
    </row>
    <row r="12" spans="1:2" x14ac:dyDescent="0.25">
      <c r="A12" s="2" t="s">
        <v>91</v>
      </c>
      <c r="B12" s="4">
        <v>6.7071428571428573</v>
      </c>
    </row>
    <row r="13" spans="1:2" x14ac:dyDescent="0.25">
      <c r="A13" s="2" t="s">
        <v>237</v>
      </c>
      <c r="B13" s="4">
        <v>6.6000000000000005</v>
      </c>
    </row>
    <row r="14" spans="1:2" x14ac:dyDescent="0.25">
      <c r="A14" s="2" t="s">
        <v>184</v>
      </c>
      <c r="B14" s="4">
        <v>6.58</v>
      </c>
    </row>
    <row r="15" spans="1:2" x14ac:dyDescent="0.25">
      <c r="A15" s="2" t="s">
        <v>128</v>
      </c>
      <c r="B15" s="4">
        <v>6.5299999999999994</v>
      </c>
    </row>
    <row r="16" spans="1:2" x14ac:dyDescent="0.25">
      <c r="A16" s="2" t="s">
        <v>160</v>
      </c>
      <c r="B16" s="4">
        <v>6.5125000000000002</v>
      </c>
    </row>
    <row r="17" spans="1:2" x14ac:dyDescent="0.25">
      <c r="A17" s="2" t="s">
        <v>145</v>
      </c>
      <c r="B17" s="4">
        <v>6.3666666666666671</v>
      </c>
    </row>
    <row r="18" spans="1:2" x14ac:dyDescent="0.25">
      <c r="A18" s="2" t="s">
        <v>119</v>
      </c>
      <c r="B18" s="4">
        <v>6.2583333333333329</v>
      </c>
    </row>
    <row r="19" spans="1:2" x14ac:dyDescent="0.25">
      <c r="A19" s="2" t="s">
        <v>244</v>
      </c>
      <c r="B19" s="4">
        <v>6.24</v>
      </c>
    </row>
    <row r="20" spans="1:2" x14ac:dyDescent="0.25">
      <c r="A20" s="2" t="s">
        <v>181</v>
      </c>
      <c r="B20" s="4">
        <v>6.2</v>
      </c>
    </row>
    <row r="21" spans="1:2" x14ac:dyDescent="0.25">
      <c r="A21" s="2" t="s">
        <v>253</v>
      </c>
      <c r="B21" s="4">
        <v>6.2</v>
      </c>
    </row>
    <row r="22" spans="1:2" x14ac:dyDescent="0.25">
      <c r="A22" s="2" t="s">
        <v>240</v>
      </c>
      <c r="B22" s="4">
        <v>6.0600000000000005</v>
      </c>
    </row>
    <row r="23" spans="1:2" x14ac:dyDescent="0.25">
      <c r="A23" s="2" t="s">
        <v>68</v>
      </c>
      <c r="B23" s="4">
        <v>5.9230769230769234</v>
      </c>
    </row>
    <row r="24" spans="1:2" x14ac:dyDescent="0.25">
      <c r="A24" s="2" t="s">
        <v>108</v>
      </c>
      <c r="B24" s="4">
        <v>5.8500000000000005</v>
      </c>
    </row>
    <row r="25" spans="1:2" x14ac:dyDescent="0.25">
      <c r="A25" s="2" t="s">
        <v>173</v>
      </c>
      <c r="B25" s="4">
        <v>5.85</v>
      </c>
    </row>
    <row r="26" spans="1:2" x14ac:dyDescent="0.25">
      <c r="A26" s="2" t="s">
        <v>225</v>
      </c>
      <c r="B26" s="4">
        <v>5.84</v>
      </c>
    </row>
    <row r="27" spans="1:2" x14ac:dyDescent="0.25">
      <c r="A27" s="2" t="s">
        <v>222</v>
      </c>
      <c r="B27" s="4">
        <v>5.8166666666666664</v>
      </c>
    </row>
    <row r="28" spans="1:2" x14ac:dyDescent="0.25">
      <c r="A28" s="2" t="s">
        <v>187</v>
      </c>
      <c r="B28" s="4">
        <v>5.8</v>
      </c>
    </row>
    <row r="29" spans="1:2" x14ac:dyDescent="0.25">
      <c r="A29" s="2" t="s">
        <v>247</v>
      </c>
      <c r="B29" s="4">
        <v>5.7666666666666666</v>
      </c>
    </row>
    <row r="30" spans="1:2" x14ac:dyDescent="0.25">
      <c r="A30" s="2" t="s">
        <v>115</v>
      </c>
      <c r="B30" s="4">
        <v>5.5916666666666659</v>
      </c>
    </row>
    <row r="31" spans="1:2" x14ac:dyDescent="0.25">
      <c r="A31" s="2" t="s">
        <v>269</v>
      </c>
      <c r="B31" s="4">
        <v>5.5333333333333341</v>
      </c>
    </row>
    <row r="32" spans="1:2" x14ac:dyDescent="0.25">
      <c r="A32" s="2" t="s">
        <v>98</v>
      </c>
      <c r="B32" s="4">
        <v>5.5266666666666673</v>
      </c>
    </row>
    <row r="33" spans="1:2" x14ac:dyDescent="0.25">
      <c r="A33" s="2" t="s">
        <v>233</v>
      </c>
      <c r="B33" s="4">
        <v>5.5200000000000005</v>
      </c>
    </row>
    <row r="34" spans="1:2" x14ac:dyDescent="0.25">
      <c r="A34" s="2" t="s">
        <v>157</v>
      </c>
      <c r="B34" s="4">
        <v>5.4833333333333334</v>
      </c>
    </row>
    <row r="35" spans="1:2" x14ac:dyDescent="0.25">
      <c r="A35" s="2" t="s">
        <v>257</v>
      </c>
      <c r="B35" s="4">
        <v>5.3666666666666671</v>
      </c>
    </row>
    <row r="36" spans="1:2" x14ac:dyDescent="0.25">
      <c r="A36" s="2" t="s">
        <v>207</v>
      </c>
      <c r="B36" s="4">
        <v>5.3166666666666664</v>
      </c>
    </row>
    <row r="37" spans="1:2" x14ac:dyDescent="0.25">
      <c r="A37" s="2" t="s">
        <v>228</v>
      </c>
      <c r="B37" s="4">
        <v>5.26</v>
      </c>
    </row>
    <row r="38" spans="1:2" x14ac:dyDescent="0.25">
      <c r="A38" s="2" t="s">
        <v>195</v>
      </c>
      <c r="B38" s="4">
        <v>5.2333333333333334</v>
      </c>
    </row>
    <row r="39" spans="1:2" x14ac:dyDescent="0.25">
      <c r="A39" s="2" t="s">
        <v>198</v>
      </c>
      <c r="B39" s="4">
        <v>4.9333333333333336</v>
      </c>
    </row>
    <row r="40" spans="1:2" x14ac:dyDescent="0.25">
      <c r="A40" s="2" t="s">
        <v>218</v>
      </c>
      <c r="B40" s="4">
        <v>4.666666666666667</v>
      </c>
    </row>
    <row r="41" spans="1:2" x14ac:dyDescent="0.25">
      <c r="A41" s="2" t="s">
        <v>133</v>
      </c>
      <c r="B41" s="4">
        <v>4.3666666666666663</v>
      </c>
    </row>
    <row r="42" spans="1:2" x14ac:dyDescent="0.25">
      <c r="A42" s="2" t="s">
        <v>150</v>
      </c>
      <c r="B42" s="4">
        <v>3.9333333333333336</v>
      </c>
    </row>
    <row r="43" spans="1:2" x14ac:dyDescent="0.25">
      <c r="A43" s="2" t="s">
        <v>638</v>
      </c>
      <c r="B43" s="4">
        <v>6.1703333333333328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workbookViewId="0"/>
  </sheetViews>
  <sheetFormatPr defaultRowHeight="15" x14ac:dyDescent="0.25"/>
  <cols>
    <col min="1" max="1" width="13.140625" bestFit="1" customWidth="1"/>
    <col min="2" max="2" width="18.85546875" bestFit="1" customWidth="1"/>
  </cols>
  <sheetData>
    <row r="1" spans="1:2" x14ac:dyDescent="0.25">
      <c r="A1" t="s">
        <v>644</v>
      </c>
    </row>
    <row r="3" spans="1:2" x14ac:dyDescent="0.25">
      <c r="A3" s="1" t="s">
        <v>637</v>
      </c>
      <c r="B3" t="s">
        <v>641</v>
      </c>
    </row>
    <row r="4" spans="1:2" x14ac:dyDescent="0.25">
      <c r="A4" s="2" t="s">
        <v>108</v>
      </c>
      <c r="B4" s="3">
        <v>24</v>
      </c>
    </row>
    <row r="5" spans="1:2" x14ac:dyDescent="0.25">
      <c r="A5" s="2" t="s">
        <v>184</v>
      </c>
      <c r="B5" s="3">
        <v>5</v>
      </c>
    </row>
    <row r="6" spans="1:2" x14ac:dyDescent="0.25">
      <c r="A6" s="2" t="s">
        <v>141</v>
      </c>
      <c r="B6" s="3">
        <v>12</v>
      </c>
    </row>
    <row r="7" spans="1:2" x14ac:dyDescent="0.25">
      <c r="A7" s="2" t="s">
        <v>133</v>
      </c>
      <c r="B7" s="3">
        <v>6</v>
      </c>
    </row>
    <row r="8" spans="1:2" x14ac:dyDescent="0.25">
      <c r="A8" s="2" t="s">
        <v>145</v>
      </c>
      <c r="B8" s="3">
        <v>6</v>
      </c>
    </row>
    <row r="9" spans="1:2" x14ac:dyDescent="0.25">
      <c r="A9" s="2" t="s">
        <v>122</v>
      </c>
      <c r="B9" s="3">
        <v>12</v>
      </c>
    </row>
    <row r="10" spans="1:2" x14ac:dyDescent="0.25">
      <c r="A10" s="2" t="s">
        <v>225</v>
      </c>
      <c r="B10" s="3">
        <v>5</v>
      </c>
    </row>
    <row r="11" spans="1:2" x14ac:dyDescent="0.25">
      <c r="A11" s="2" t="s">
        <v>160</v>
      </c>
      <c r="B11" s="3">
        <v>8</v>
      </c>
    </row>
    <row r="12" spans="1:2" x14ac:dyDescent="0.25">
      <c r="A12" s="2" t="s">
        <v>91</v>
      </c>
      <c r="B12" s="3">
        <v>14</v>
      </c>
    </row>
    <row r="13" spans="1:2" x14ac:dyDescent="0.25">
      <c r="A13" s="2" t="s">
        <v>173</v>
      </c>
      <c r="B13" s="3">
        <v>10</v>
      </c>
    </row>
    <row r="14" spans="1:2" x14ac:dyDescent="0.25">
      <c r="A14" s="2" t="s">
        <v>269</v>
      </c>
      <c r="B14" s="3">
        <v>3</v>
      </c>
    </row>
    <row r="15" spans="1:2" x14ac:dyDescent="0.25">
      <c r="A15" s="2" t="s">
        <v>201</v>
      </c>
      <c r="B15" s="3">
        <v>5</v>
      </c>
    </row>
    <row r="16" spans="1:2" x14ac:dyDescent="0.25">
      <c r="A16" s="2" t="s">
        <v>207</v>
      </c>
      <c r="B16" s="3">
        <v>6</v>
      </c>
    </row>
    <row r="17" spans="1:2" x14ac:dyDescent="0.25">
      <c r="A17" s="2" t="s">
        <v>204</v>
      </c>
      <c r="B17" s="3">
        <v>6</v>
      </c>
    </row>
    <row r="18" spans="1:2" x14ac:dyDescent="0.25">
      <c r="A18" s="2" t="s">
        <v>190</v>
      </c>
      <c r="B18" s="3">
        <v>9</v>
      </c>
    </row>
    <row r="19" spans="1:2" x14ac:dyDescent="0.25">
      <c r="A19" s="2" t="s">
        <v>181</v>
      </c>
      <c r="B19" s="3">
        <v>5</v>
      </c>
    </row>
    <row r="20" spans="1:2" x14ac:dyDescent="0.25">
      <c r="A20" s="2" t="s">
        <v>68</v>
      </c>
      <c r="B20" s="3">
        <v>26</v>
      </c>
    </row>
    <row r="21" spans="1:2" x14ac:dyDescent="0.25">
      <c r="A21" s="2" t="s">
        <v>253</v>
      </c>
      <c r="B21" s="3">
        <v>5</v>
      </c>
    </row>
    <row r="22" spans="1:2" x14ac:dyDescent="0.25">
      <c r="A22" s="2" t="s">
        <v>218</v>
      </c>
      <c r="B22" s="3">
        <v>3</v>
      </c>
    </row>
    <row r="23" spans="1:2" x14ac:dyDescent="0.25">
      <c r="A23" s="2" t="s">
        <v>128</v>
      </c>
      <c r="B23" s="3">
        <v>10</v>
      </c>
    </row>
    <row r="24" spans="1:2" x14ac:dyDescent="0.25">
      <c r="A24" s="2" t="s">
        <v>138</v>
      </c>
      <c r="B24" s="3">
        <v>7</v>
      </c>
    </row>
    <row r="25" spans="1:2" x14ac:dyDescent="0.25">
      <c r="A25" s="2" t="s">
        <v>247</v>
      </c>
      <c r="B25" s="3">
        <v>3</v>
      </c>
    </row>
    <row r="26" spans="1:2" x14ac:dyDescent="0.25">
      <c r="A26" s="2" t="s">
        <v>240</v>
      </c>
      <c r="B26" s="3">
        <v>5</v>
      </c>
    </row>
    <row r="27" spans="1:2" x14ac:dyDescent="0.25">
      <c r="A27" s="2" t="s">
        <v>115</v>
      </c>
      <c r="B27" s="3">
        <v>12</v>
      </c>
    </row>
    <row r="28" spans="1:2" x14ac:dyDescent="0.25">
      <c r="A28" s="2" t="s">
        <v>195</v>
      </c>
      <c r="B28" s="3">
        <v>3</v>
      </c>
    </row>
    <row r="29" spans="1:2" x14ac:dyDescent="0.25">
      <c r="A29" s="2" t="s">
        <v>98</v>
      </c>
      <c r="B29" s="3">
        <v>15</v>
      </c>
    </row>
    <row r="30" spans="1:2" x14ac:dyDescent="0.25">
      <c r="A30" s="2" t="s">
        <v>119</v>
      </c>
      <c r="B30" s="3">
        <v>12</v>
      </c>
    </row>
    <row r="31" spans="1:2" x14ac:dyDescent="0.25">
      <c r="A31" s="2" t="s">
        <v>244</v>
      </c>
      <c r="B31" s="3">
        <v>5</v>
      </c>
    </row>
    <row r="32" spans="1:2" x14ac:dyDescent="0.25">
      <c r="A32" s="2" t="s">
        <v>150</v>
      </c>
      <c r="B32" s="3">
        <v>3</v>
      </c>
    </row>
    <row r="33" spans="1:2" x14ac:dyDescent="0.25">
      <c r="A33" s="2" t="s">
        <v>257</v>
      </c>
      <c r="B33" s="3">
        <v>3</v>
      </c>
    </row>
    <row r="34" spans="1:2" x14ac:dyDescent="0.25">
      <c r="A34" s="2" t="s">
        <v>163</v>
      </c>
      <c r="B34" s="3">
        <v>8</v>
      </c>
    </row>
    <row r="35" spans="1:2" x14ac:dyDescent="0.25">
      <c r="A35" s="2" t="s">
        <v>157</v>
      </c>
      <c r="B35" s="3">
        <v>12</v>
      </c>
    </row>
    <row r="36" spans="1:2" x14ac:dyDescent="0.25">
      <c r="A36" s="2" t="s">
        <v>260</v>
      </c>
      <c r="B36" s="3">
        <v>5</v>
      </c>
    </row>
    <row r="37" spans="1:2" x14ac:dyDescent="0.25">
      <c r="A37" s="2" t="s">
        <v>187</v>
      </c>
      <c r="B37" s="3">
        <v>5</v>
      </c>
    </row>
    <row r="38" spans="1:2" x14ac:dyDescent="0.25">
      <c r="A38" s="2" t="s">
        <v>233</v>
      </c>
      <c r="B38" s="3">
        <v>5</v>
      </c>
    </row>
    <row r="39" spans="1:2" x14ac:dyDescent="0.25">
      <c r="A39" s="2" t="s">
        <v>198</v>
      </c>
      <c r="B39" s="3">
        <v>3</v>
      </c>
    </row>
    <row r="40" spans="1:2" x14ac:dyDescent="0.25">
      <c r="A40" s="2" t="s">
        <v>228</v>
      </c>
      <c r="B40" s="3">
        <v>5</v>
      </c>
    </row>
    <row r="41" spans="1:2" x14ac:dyDescent="0.25">
      <c r="A41" s="2" t="s">
        <v>222</v>
      </c>
      <c r="B41" s="3">
        <v>6</v>
      </c>
    </row>
    <row r="42" spans="1:2" x14ac:dyDescent="0.25">
      <c r="A42" s="2" t="s">
        <v>237</v>
      </c>
      <c r="B42" s="3">
        <v>3</v>
      </c>
    </row>
    <row r="43" spans="1:2" x14ac:dyDescent="0.25">
      <c r="A43" s="2" t="s">
        <v>638</v>
      </c>
      <c r="B43" s="3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x14ac:dyDescent="0.25"/>
  <cols>
    <col min="1" max="1" width="13.140625" bestFit="1" customWidth="1"/>
    <col min="2" max="2" width="21.7109375" bestFit="1" customWidth="1"/>
  </cols>
  <sheetData>
    <row r="1" spans="1:2" x14ac:dyDescent="0.25">
      <c r="A1" t="s">
        <v>646</v>
      </c>
    </row>
    <row r="3" spans="1:2" x14ac:dyDescent="0.25">
      <c r="A3" s="1" t="s">
        <v>637</v>
      </c>
      <c r="B3" t="s">
        <v>645</v>
      </c>
    </row>
    <row r="4" spans="1:2" x14ac:dyDescent="0.25">
      <c r="A4" s="2" t="s">
        <v>65</v>
      </c>
      <c r="B4" s="3">
        <v>18</v>
      </c>
    </row>
    <row r="5" spans="1:2" x14ac:dyDescent="0.25">
      <c r="A5" s="2" t="s">
        <v>106</v>
      </c>
      <c r="B5" s="3">
        <v>50</v>
      </c>
    </row>
    <row r="6" spans="1:2" x14ac:dyDescent="0.25">
      <c r="A6" s="2" t="s">
        <v>154</v>
      </c>
      <c r="B6" s="3">
        <v>43</v>
      </c>
    </row>
    <row r="7" spans="1:2" x14ac:dyDescent="0.25">
      <c r="A7" s="2" t="s">
        <v>278</v>
      </c>
      <c r="B7" s="3">
        <v>53</v>
      </c>
    </row>
    <row r="8" spans="1:2" x14ac:dyDescent="0.25">
      <c r="A8" s="2" t="s">
        <v>382</v>
      </c>
      <c r="B8" s="3">
        <v>74</v>
      </c>
    </row>
    <row r="9" spans="1:2" x14ac:dyDescent="0.25">
      <c r="A9" s="2" t="s">
        <v>453</v>
      </c>
      <c r="B9" s="3">
        <v>35</v>
      </c>
    </row>
    <row r="10" spans="1:2" x14ac:dyDescent="0.25">
      <c r="A10" s="2" t="s">
        <v>460</v>
      </c>
      <c r="B10" s="3">
        <v>27</v>
      </c>
    </row>
    <row r="11" spans="1:2" x14ac:dyDescent="0.25">
      <c r="A11" s="2" t="s">
        <v>638</v>
      </c>
      <c r="B11" s="3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 x14ac:dyDescent="0.25"/>
  <cols>
    <col min="1" max="1" width="19.140625" customWidth="1"/>
    <col min="2" max="2" width="21.7109375" bestFit="1" customWidth="1"/>
    <col min="3" max="3" width="29.42578125" bestFit="1" customWidth="1"/>
  </cols>
  <sheetData>
    <row r="1" spans="1:3" x14ac:dyDescent="0.25">
      <c r="A1" t="s">
        <v>653</v>
      </c>
    </row>
    <row r="3" spans="1:3" x14ac:dyDescent="0.25">
      <c r="A3" s="1" t="s">
        <v>637</v>
      </c>
      <c r="B3" t="s">
        <v>645</v>
      </c>
      <c r="C3" t="s">
        <v>647</v>
      </c>
    </row>
    <row r="4" spans="1:3" x14ac:dyDescent="0.25">
      <c r="A4" s="2" t="s">
        <v>567</v>
      </c>
      <c r="B4" s="3">
        <v>2</v>
      </c>
      <c r="C4" s="4">
        <v>5.75</v>
      </c>
    </row>
    <row r="5" spans="1:3" x14ac:dyDescent="0.25">
      <c r="A5" s="2" t="s">
        <v>166</v>
      </c>
      <c r="B5" s="3">
        <v>188</v>
      </c>
      <c r="C5" s="4">
        <v>3.3191489361702127</v>
      </c>
    </row>
    <row r="6" spans="1:3" x14ac:dyDescent="0.25">
      <c r="A6" s="2" t="s">
        <v>543</v>
      </c>
      <c r="B6" s="3">
        <v>3</v>
      </c>
      <c r="C6" s="4">
        <v>6.833333333333333</v>
      </c>
    </row>
    <row r="7" spans="1:3" x14ac:dyDescent="0.25">
      <c r="A7" s="2" t="s">
        <v>178</v>
      </c>
      <c r="B7" s="3">
        <v>6</v>
      </c>
      <c r="C7" s="4">
        <v>5.166666666666667</v>
      </c>
    </row>
    <row r="8" spans="1:3" x14ac:dyDescent="0.25">
      <c r="A8" s="2" t="s">
        <v>461</v>
      </c>
      <c r="B8" s="3">
        <v>27</v>
      </c>
      <c r="C8" s="4">
        <v>1.1666666666666667</v>
      </c>
    </row>
    <row r="9" spans="1:3" x14ac:dyDescent="0.25">
      <c r="A9" s="2" t="s">
        <v>549</v>
      </c>
      <c r="B9" s="3">
        <v>2</v>
      </c>
      <c r="C9" s="4">
        <v>4.75</v>
      </c>
    </row>
    <row r="10" spans="1:3" x14ac:dyDescent="0.25">
      <c r="A10" s="2" t="s">
        <v>71</v>
      </c>
      <c r="B10" s="3">
        <v>72</v>
      </c>
      <c r="C10" s="4">
        <v>6.6805555555555554</v>
      </c>
    </row>
    <row r="11" spans="1:3" x14ac:dyDescent="0.25">
      <c r="A11" s="2" t="s">
        <v>638</v>
      </c>
      <c r="B11" s="3">
        <v>300</v>
      </c>
      <c r="C11" s="3">
        <v>4.03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01"/>
  <sheetViews>
    <sheetView topLeftCell="A281" workbookViewId="0"/>
  </sheetViews>
  <sheetFormatPr defaultColWidth="11.5703125" defaultRowHeight="15" x14ac:dyDescent="0.25"/>
  <cols>
    <col min="1" max="1" width="15.42578125" customWidth="1"/>
    <col min="3" max="3" width="12.42578125" customWidth="1"/>
    <col min="5" max="5" width="15.7109375" customWidth="1"/>
    <col min="6" max="6" width="12.7109375" customWidth="1"/>
    <col min="7" max="7" width="22.42578125" customWidth="1"/>
    <col min="8" max="8" width="17.42578125" customWidth="1"/>
    <col min="9" max="9" width="20.85546875" customWidth="1"/>
    <col min="10" max="10" width="21.42578125" customWidth="1"/>
    <col min="11" max="11" width="20.140625" customWidth="1"/>
    <col min="12" max="12" width="21" customWidth="1"/>
    <col min="13" max="13" width="23.7109375" customWidth="1"/>
    <col min="14" max="14" width="18.7109375" customWidth="1"/>
    <col min="15" max="15" width="20.85546875" customWidth="1"/>
    <col min="16" max="16" width="23.42578125" customWidth="1"/>
    <col min="17" max="17" width="19.7109375" customWidth="1"/>
    <col min="18" max="18" width="20.5703125" customWidth="1"/>
    <col min="19" max="19" width="23.7109375" customWidth="1"/>
    <col min="20" max="20" width="18.7109375" customWidth="1"/>
    <col min="21" max="21" width="24.5703125" customWidth="1"/>
    <col min="22" max="22" width="24.140625" customWidth="1"/>
    <col min="23" max="23" width="25.7109375" customWidth="1"/>
    <col min="24" max="24" width="25.140625" customWidth="1"/>
    <col min="25" max="25" width="29.42578125" customWidth="1"/>
    <col min="26" max="26" width="18" customWidth="1"/>
    <col min="27" max="27" width="15.140625" customWidth="1"/>
    <col min="28" max="28" width="20.5703125" customWidth="1"/>
    <col min="29" max="29" width="31.5703125" customWidth="1"/>
    <col min="30" max="30" width="27.28515625" customWidth="1"/>
    <col min="31" max="31" width="26.140625" customWidth="1"/>
    <col min="32" max="32" width="13.5703125" customWidth="1"/>
    <col min="33" max="33" width="28.7109375" customWidth="1"/>
    <col min="34" max="34" width="25.5703125" customWidth="1"/>
    <col min="35" max="35" width="27.140625" customWidth="1"/>
    <col min="36" max="36" width="30.85546875" customWidth="1"/>
    <col min="37" max="37" width="24.85546875" customWidth="1"/>
    <col min="38" max="38" width="30" customWidth="1"/>
    <col min="39" max="39" width="26.140625" customWidth="1"/>
    <col min="40" max="40" width="24.28515625" customWidth="1"/>
    <col min="41" max="41" width="28.42578125" customWidth="1"/>
    <col min="42" max="42" width="30.28515625" customWidth="1"/>
    <col min="43" max="43" width="24.28515625" customWidth="1"/>
    <col min="44" max="44" width="26.28515625" customWidth="1"/>
    <col min="45" max="45" width="25.140625" customWidth="1"/>
    <col min="46" max="46" width="27.28515625" customWidth="1"/>
    <col min="47" max="47" width="34.85546875" customWidth="1"/>
    <col min="48" max="48" width="25.42578125" customWidth="1"/>
    <col min="49" max="49" width="28.85546875" customWidth="1"/>
    <col min="50" max="50" width="23.5703125" customWidth="1"/>
    <col min="51" max="51" width="23.28515625" customWidth="1"/>
    <col min="52" max="52" width="25" customWidth="1"/>
    <col min="53" max="53" width="33.7109375" customWidth="1"/>
    <col min="54" max="54" width="19.7109375" customWidth="1"/>
    <col min="55" max="55" width="27.140625" customWidth="1"/>
    <col min="56" max="56" width="27.28515625" customWidth="1"/>
    <col min="57" max="57" width="20.85546875" customWidth="1"/>
    <col min="58" max="58" width="22.85546875" customWidth="1"/>
    <col min="59" max="59" width="16" customWidth="1"/>
    <col min="60" max="60" width="27.140625" customWidth="1"/>
    <col min="61" max="61" width="31.28515625" customWidth="1"/>
    <col min="62" max="62" width="24.28515625" customWidth="1"/>
    <col min="63" max="63" width="24.85546875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5">
      <c r="A2" t="s">
        <v>64</v>
      </c>
      <c r="B2">
        <v>16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  <c r="L2">
        <v>7.5</v>
      </c>
      <c r="M2">
        <v>4</v>
      </c>
      <c r="N2" t="s">
        <v>74</v>
      </c>
      <c r="O2" t="s">
        <v>75</v>
      </c>
      <c r="P2" t="s">
        <v>76</v>
      </c>
      <c r="Q2" t="s">
        <v>77</v>
      </c>
      <c r="R2" t="s">
        <v>78</v>
      </c>
      <c r="S2" t="s">
        <v>79</v>
      </c>
      <c r="T2" t="s">
        <v>79</v>
      </c>
      <c r="U2" t="s">
        <v>80</v>
      </c>
      <c r="V2" t="s">
        <v>80</v>
      </c>
      <c r="W2" t="s">
        <v>78</v>
      </c>
      <c r="X2" t="s">
        <v>81</v>
      </c>
      <c r="Y2">
        <v>11</v>
      </c>
      <c r="Z2">
        <v>5.5</v>
      </c>
      <c r="AA2" t="s">
        <v>82</v>
      </c>
      <c r="AB2" t="s">
        <v>83</v>
      </c>
      <c r="AC2">
        <v>6</v>
      </c>
      <c r="AD2">
        <v>9</v>
      </c>
      <c r="AE2">
        <v>5</v>
      </c>
      <c r="AF2">
        <v>8</v>
      </c>
      <c r="AG2">
        <v>7</v>
      </c>
      <c r="AH2">
        <v>8</v>
      </c>
      <c r="AI2" t="s">
        <v>80</v>
      </c>
      <c r="AJ2" t="s">
        <v>80</v>
      </c>
      <c r="AK2">
        <v>8</v>
      </c>
      <c r="AL2">
        <v>20</v>
      </c>
      <c r="AM2" t="s">
        <v>84</v>
      </c>
      <c r="AN2" t="s">
        <v>80</v>
      </c>
      <c r="AO2" t="s">
        <v>80</v>
      </c>
      <c r="AP2" t="s">
        <v>80</v>
      </c>
      <c r="AQ2">
        <v>4</v>
      </c>
      <c r="AR2">
        <v>3</v>
      </c>
      <c r="AS2">
        <v>4</v>
      </c>
      <c r="AT2" t="s">
        <v>85</v>
      </c>
      <c r="AU2">
        <v>10</v>
      </c>
      <c r="AV2" t="s">
        <v>80</v>
      </c>
      <c r="AW2" t="s">
        <v>80</v>
      </c>
      <c r="AX2">
        <v>8</v>
      </c>
      <c r="AY2" t="s">
        <v>78</v>
      </c>
      <c r="AZ2" t="s">
        <v>80</v>
      </c>
      <c r="BA2">
        <v>9</v>
      </c>
      <c r="BB2">
        <v>8</v>
      </c>
      <c r="BC2" t="s">
        <v>80</v>
      </c>
      <c r="BD2">
        <v>9</v>
      </c>
      <c r="BE2">
        <v>2</v>
      </c>
      <c r="BF2">
        <v>3</v>
      </c>
      <c r="BG2" t="s">
        <v>86</v>
      </c>
      <c r="BH2" t="s">
        <v>87</v>
      </c>
      <c r="BI2">
        <v>8.8000000000000007</v>
      </c>
      <c r="BJ2">
        <v>9.1999999999999993</v>
      </c>
      <c r="BK2">
        <v>2.1</v>
      </c>
      <c r="BL2">
        <v>9.5</v>
      </c>
    </row>
    <row r="3" spans="1:64" x14ac:dyDescent="0.25">
      <c r="A3" t="s">
        <v>88</v>
      </c>
      <c r="B3">
        <v>17</v>
      </c>
      <c r="C3" t="s">
        <v>65</v>
      </c>
      <c r="D3" t="s">
        <v>89</v>
      </c>
      <c r="E3" t="s">
        <v>90</v>
      </c>
      <c r="F3" t="s">
        <v>91</v>
      </c>
      <c r="G3" t="s">
        <v>92</v>
      </c>
      <c r="H3" t="s">
        <v>70</v>
      </c>
      <c r="I3" t="s">
        <v>71</v>
      </c>
      <c r="J3" t="s">
        <v>72</v>
      </c>
      <c r="K3" t="s">
        <v>73</v>
      </c>
      <c r="L3">
        <v>8</v>
      </c>
      <c r="M3">
        <v>5</v>
      </c>
      <c r="N3" t="s">
        <v>93</v>
      </c>
      <c r="O3" t="s">
        <v>75</v>
      </c>
      <c r="P3" t="s">
        <v>76</v>
      </c>
      <c r="Q3" t="s">
        <v>77</v>
      </c>
      <c r="R3" t="s">
        <v>78</v>
      </c>
      <c r="S3" t="s">
        <v>79</v>
      </c>
      <c r="T3" t="s">
        <v>79</v>
      </c>
      <c r="U3" t="s">
        <v>80</v>
      </c>
      <c r="V3" t="s">
        <v>80</v>
      </c>
      <c r="W3" t="s">
        <v>78</v>
      </c>
      <c r="X3" t="s">
        <v>81</v>
      </c>
      <c r="Y3">
        <v>12</v>
      </c>
      <c r="Z3">
        <v>5</v>
      </c>
      <c r="AA3" t="s">
        <v>94</v>
      </c>
      <c r="AB3" t="s">
        <v>83</v>
      </c>
      <c r="AC3">
        <v>5.5</v>
      </c>
      <c r="AD3">
        <v>10</v>
      </c>
      <c r="AE3">
        <v>5</v>
      </c>
      <c r="AF3">
        <v>9</v>
      </c>
      <c r="AG3">
        <v>8</v>
      </c>
      <c r="AH3">
        <v>9</v>
      </c>
      <c r="AI3" t="s">
        <v>80</v>
      </c>
      <c r="AJ3" t="s">
        <v>80</v>
      </c>
      <c r="AK3">
        <v>7</v>
      </c>
      <c r="AL3">
        <v>15</v>
      </c>
      <c r="AM3" t="s">
        <v>84</v>
      </c>
      <c r="AN3" t="s">
        <v>80</v>
      </c>
      <c r="AO3" t="s">
        <v>80</v>
      </c>
      <c r="AP3" t="s">
        <v>80</v>
      </c>
      <c r="AQ3">
        <v>3</v>
      </c>
      <c r="AR3">
        <v>2</v>
      </c>
      <c r="AS3">
        <v>3</v>
      </c>
      <c r="AT3" t="s">
        <v>85</v>
      </c>
      <c r="AU3">
        <v>8</v>
      </c>
      <c r="AV3" t="s">
        <v>80</v>
      </c>
      <c r="AW3" t="s">
        <v>80</v>
      </c>
      <c r="AX3">
        <v>9</v>
      </c>
      <c r="AY3" t="s">
        <v>78</v>
      </c>
      <c r="AZ3" t="s">
        <v>80</v>
      </c>
      <c r="BA3">
        <v>10</v>
      </c>
      <c r="BB3">
        <v>9</v>
      </c>
      <c r="BC3" t="s">
        <v>80</v>
      </c>
      <c r="BD3">
        <v>10</v>
      </c>
      <c r="BE3">
        <v>1</v>
      </c>
      <c r="BF3">
        <v>1</v>
      </c>
      <c r="BG3" t="s">
        <v>95</v>
      </c>
      <c r="BH3" t="s">
        <v>87</v>
      </c>
      <c r="BI3">
        <v>9.5</v>
      </c>
      <c r="BJ3">
        <v>9.8000000000000007</v>
      </c>
      <c r="BK3">
        <v>1.5</v>
      </c>
      <c r="BL3">
        <v>9.8000000000000007</v>
      </c>
    </row>
    <row r="4" spans="1:64" x14ac:dyDescent="0.25">
      <c r="A4" t="s">
        <v>96</v>
      </c>
      <c r="B4">
        <v>15</v>
      </c>
      <c r="C4" t="s">
        <v>65</v>
      </c>
      <c r="D4" t="s">
        <v>66</v>
      </c>
      <c r="E4" t="s">
        <v>97</v>
      </c>
      <c r="F4" t="s">
        <v>98</v>
      </c>
      <c r="G4" t="s">
        <v>99</v>
      </c>
      <c r="H4" t="s">
        <v>70</v>
      </c>
      <c r="I4" t="s">
        <v>71</v>
      </c>
      <c r="J4" t="s">
        <v>72</v>
      </c>
      <c r="K4" t="s">
        <v>73</v>
      </c>
      <c r="L4">
        <v>6.5</v>
      </c>
      <c r="M4">
        <v>3</v>
      </c>
      <c r="N4" t="s">
        <v>93</v>
      </c>
      <c r="O4" t="s">
        <v>74</v>
      </c>
      <c r="P4" t="s">
        <v>100</v>
      </c>
      <c r="Q4" t="s">
        <v>101</v>
      </c>
      <c r="R4" t="s">
        <v>78</v>
      </c>
      <c r="S4" t="s">
        <v>102</v>
      </c>
      <c r="T4" t="s">
        <v>102</v>
      </c>
      <c r="U4" t="s">
        <v>80</v>
      </c>
      <c r="V4" t="s">
        <v>80</v>
      </c>
      <c r="W4" t="s">
        <v>78</v>
      </c>
      <c r="X4" t="s">
        <v>81</v>
      </c>
      <c r="Y4">
        <v>10</v>
      </c>
      <c r="Z4">
        <v>6</v>
      </c>
      <c r="AA4" t="s">
        <v>82</v>
      </c>
      <c r="AB4" t="s">
        <v>103</v>
      </c>
      <c r="AC4">
        <v>6.5</v>
      </c>
      <c r="AD4">
        <v>8</v>
      </c>
      <c r="AE4">
        <v>4</v>
      </c>
      <c r="AF4">
        <v>7</v>
      </c>
      <c r="AG4">
        <v>7</v>
      </c>
      <c r="AH4">
        <v>7</v>
      </c>
      <c r="AI4" t="s">
        <v>80</v>
      </c>
      <c r="AJ4" t="s">
        <v>80</v>
      </c>
      <c r="AK4">
        <v>10</v>
      </c>
      <c r="AL4">
        <v>25</v>
      </c>
      <c r="AM4" t="s">
        <v>84</v>
      </c>
      <c r="AN4" t="s">
        <v>80</v>
      </c>
      <c r="AO4" t="s">
        <v>80</v>
      </c>
      <c r="AP4" t="s">
        <v>80</v>
      </c>
      <c r="AQ4">
        <v>4</v>
      </c>
      <c r="AR4">
        <v>4</v>
      </c>
      <c r="AS4">
        <v>4</v>
      </c>
      <c r="AT4" t="s">
        <v>85</v>
      </c>
      <c r="AU4">
        <v>12</v>
      </c>
      <c r="AV4" t="s">
        <v>80</v>
      </c>
      <c r="AW4" t="s">
        <v>80</v>
      </c>
      <c r="AX4">
        <v>7</v>
      </c>
      <c r="AY4" t="s">
        <v>78</v>
      </c>
      <c r="AZ4" t="s">
        <v>80</v>
      </c>
      <c r="BA4">
        <v>8</v>
      </c>
      <c r="BB4">
        <v>7</v>
      </c>
      <c r="BC4" t="s">
        <v>80</v>
      </c>
      <c r="BD4">
        <v>8</v>
      </c>
      <c r="BE4">
        <v>2</v>
      </c>
      <c r="BF4">
        <v>5</v>
      </c>
      <c r="BG4" t="s">
        <v>86</v>
      </c>
      <c r="BH4" t="s">
        <v>104</v>
      </c>
      <c r="BI4">
        <v>8</v>
      </c>
      <c r="BJ4">
        <v>8.5</v>
      </c>
      <c r="BK4">
        <v>2.8</v>
      </c>
      <c r="BL4">
        <v>9</v>
      </c>
    </row>
    <row r="5" spans="1:64" x14ac:dyDescent="0.25">
      <c r="A5" t="s">
        <v>105</v>
      </c>
      <c r="B5">
        <v>19</v>
      </c>
      <c r="C5" t="s">
        <v>106</v>
      </c>
      <c r="D5" t="s">
        <v>89</v>
      </c>
      <c r="E5" t="s">
        <v>107</v>
      </c>
      <c r="F5" t="s">
        <v>108</v>
      </c>
      <c r="G5" t="s">
        <v>109</v>
      </c>
      <c r="H5" t="s">
        <v>70</v>
      </c>
      <c r="I5" t="s">
        <v>71</v>
      </c>
      <c r="J5" t="s">
        <v>72</v>
      </c>
      <c r="K5" t="s">
        <v>73</v>
      </c>
      <c r="L5">
        <v>6</v>
      </c>
      <c r="M5">
        <v>6</v>
      </c>
      <c r="N5" t="s">
        <v>75</v>
      </c>
      <c r="O5" t="s">
        <v>110</v>
      </c>
      <c r="P5" t="s">
        <v>100</v>
      </c>
      <c r="Q5" t="s">
        <v>101</v>
      </c>
      <c r="R5" t="s">
        <v>78</v>
      </c>
      <c r="S5" t="s">
        <v>102</v>
      </c>
      <c r="T5" t="s">
        <v>111</v>
      </c>
      <c r="U5" t="s">
        <v>80</v>
      </c>
      <c r="V5" t="s">
        <v>80</v>
      </c>
      <c r="W5" t="s">
        <v>78</v>
      </c>
      <c r="X5" t="s">
        <v>112</v>
      </c>
      <c r="Y5">
        <v>10.5</v>
      </c>
      <c r="Z5">
        <v>6</v>
      </c>
      <c r="AA5" t="s">
        <v>82</v>
      </c>
      <c r="AB5" t="s">
        <v>103</v>
      </c>
      <c r="AC5">
        <v>5</v>
      </c>
      <c r="AD5">
        <v>8</v>
      </c>
      <c r="AE5">
        <v>4</v>
      </c>
      <c r="AF5">
        <v>7</v>
      </c>
      <c r="AG5">
        <v>6</v>
      </c>
      <c r="AH5">
        <v>6</v>
      </c>
      <c r="AI5" t="s">
        <v>80</v>
      </c>
      <c r="AJ5" t="s">
        <v>80</v>
      </c>
      <c r="AK5">
        <v>12</v>
      </c>
      <c r="AL5">
        <v>25</v>
      </c>
      <c r="AM5" t="s">
        <v>84</v>
      </c>
      <c r="AN5" t="s">
        <v>80</v>
      </c>
      <c r="AO5" t="s">
        <v>80</v>
      </c>
      <c r="AP5" t="s">
        <v>80</v>
      </c>
      <c r="AQ5">
        <v>4</v>
      </c>
      <c r="AR5">
        <v>3</v>
      </c>
      <c r="AS5">
        <v>4</v>
      </c>
      <c r="AT5" t="s">
        <v>85</v>
      </c>
      <c r="AU5">
        <v>15</v>
      </c>
      <c r="AV5" t="s">
        <v>80</v>
      </c>
      <c r="AW5" t="s">
        <v>80</v>
      </c>
      <c r="AX5">
        <v>7</v>
      </c>
      <c r="AY5" t="s">
        <v>78</v>
      </c>
      <c r="AZ5" t="s">
        <v>80</v>
      </c>
      <c r="BA5">
        <v>8</v>
      </c>
      <c r="BB5">
        <v>8</v>
      </c>
      <c r="BC5" t="s">
        <v>80</v>
      </c>
      <c r="BD5">
        <v>9</v>
      </c>
      <c r="BE5">
        <v>3</v>
      </c>
      <c r="BF5">
        <v>7</v>
      </c>
      <c r="BG5" t="s">
        <v>86</v>
      </c>
      <c r="BH5" t="s">
        <v>104</v>
      </c>
      <c r="BI5">
        <v>7.8</v>
      </c>
      <c r="BJ5">
        <v>8.1999999999999993</v>
      </c>
      <c r="BK5">
        <v>2.9</v>
      </c>
      <c r="BL5">
        <v>8.8000000000000007</v>
      </c>
    </row>
    <row r="6" spans="1:64" x14ac:dyDescent="0.25">
      <c r="A6" t="s">
        <v>113</v>
      </c>
      <c r="B6">
        <v>18</v>
      </c>
      <c r="C6" t="s">
        <v>106</v>
      </c>
      <c r="D6" t="s">
        <v>66</v>
      </c>
      <c r="E6" t="s">
        <v>114</v>
      </c>
      <c r="F6" t="s">
        <v>115</v>
      </c>
      <c r="G6" t="s">
        <v>116</v>
      </c>
      <c r="H6" t="s">
        <v>70</v>
      </c>
      <c r="I6" t="s">
        <v>71</v>
      </c>
      <c r="J6" t="s">
        <v>72</v>
      </c>
      <c r="K6" t="s">
        <v>73</v>
      </c>
      <c r="L6">
        <v>7</v>
      </c>
      <c r="M6">
        <v>4</v>
      </c>
      <c r="N6" t="s">
        <v>74</v>
      </c>
      <c r="O6" t="s">
        <v>93</v>
      </c>
      <c r="P6" t="s">
        <v>76</v>
      </c>
      <c r="Q6" t="s">
        <v>77</v>
      </c>
      <c r="R6" t="s">
        <v>78</v>
      </c>
      <c r="S6" t="s">
        <v>79</v>
      </c>
      <c r="T6" t="s">
        <v>102</v>
      </c>
      <c r="U6" t="s">
        <v>80</v>
      </c>
      <c r="V6" t="s">
        <v>80</v>
      </c>
      <c r="W6" t="s">
        <v>78</v>
      </c>
      <c r="X6" t="s">
        <v>81</v>
      </c>
      <c r="Y6">
        <v>11.5</v>
      </c>
      <c r="Z6">
        <v>5.5</v>
      </c>
      <c r="AA6" t="s">
        <v>82</v>
      </c>
      <c r="AB6" t="s">
        <v>83</v>
      </c>
      <c r="AC6">
        <v>6</v>
      </c>
      <c r="AD6">
        <v>9</v>
      </c>
      <c r="AE6">
        <v>5</v>
      </c>
      <c r="AF6">
        <v>8</v>
      </c>
      <c r="AG6">
        <v>8</v>
      </c>
      <c r="AH6">
        <v>8</v>
      </c>
      <c r="AI6" t="s">
        <v>80</v>
      </c>
      <c r="AJ6" t="s">
        <v>80</v>
      </c>
      <c r="AK6">
        <v>8</v>
      </c>
      <c r="AL6">
        <v>18</v>
      </c>
      <c r="AM6" t="s">
        <v>84</v>
      </c>
      <c r="AN6" t="s">
        <v>80</v>
      </c>
      <c r="AO6" t="s">
        <v>80</v>
      </c>
      <c r="AP6" t="s">
        <v>80</v>
      </c>
      <c r="AQ6">
        <v>3</v>
      </c>
      <c r="AR6">
        <v>3</v>
      </c>
      <c r="AS6">
        <v>3</v>
      </c>
      <c r="AT6" t="s">
        <v>85</v>
      </c>
      <c r="AU6">
        <v>10</v>
      </c>
      <c r="AV6" t="s">
        <v>80</v>
      </c>
      <c r="AW6" t="s">
        <v>80</v>
      </c>
      <c r="AX6">
        <v>8</v>
      </c>
      <c r="AY6" t="s">
        <v>78</v>
      </c>
      <c r="AZ6" t="s">
        <v>80</v>
      </c>
      <c r="BA6">
        <v>9</v>
      </c>
      <c r="BB6">
        <v>9</v>
      </c>
      <c r="BC6" t="s">
        <v>80</v>
      </c>
      <c r="BD6">
        <v>9</v>
      </c>
      <c r="BE6">
        <v>2</v>
      </c>
      <c r="BF6">
        <v>4</v>
      </c>
      <c r="BG6" t="s">
        <v>117</v>
      </c>
      <c r="BH6" t="s">
        <v>87</v>
      </c>
      <c r="BI6">
        <v>9</v>
      </c>
      <c r="BJ6">
        <v>9.3000000000000007</v>
      </c>
      <c r="BK6">
        <v>2</v>
      </c>
      <c r="BL6">
        <v>9.6</v>
      </c>
    </row>
    <row r="7" spans="1:64" x14ac:dyDescent="0.25">
      <c r="A7" t="s">
        <v>118</v>
      </c>
      <c r="B7">
        <v>16</v>
      </c>
      <c r="C7" t="s">
        <v>65</v>
      </c>
      <c r="D7" t="s">
        <v>89</v>
      </c>
      <c r="E7" t="s">
        <v>67</v>
      </c>
      <c r="F7" t="s">
        <v>119</v>
      </c>
      <c r="G7" t="s">
        <v>120</v>
      </c>
      <c r="H7" t="s">
        <v>70</v>
      </c>
      <c r="I7" t="s">
        <v>71</v>
      </c>
      <c r="J7" t="s">
        <v>72</v>
      </c>
      <c r="K7" t="s">
        <v>73</v>
      </c>
      <c r="L7">
        <v>6.5</v>
      </c>
      <c r="M7">
        <v>3</v>
      </c>
      <c r="N7" t="s">
        <v>75</v>
      </c>
      <c r="O7" t="s">
        <v>93</v>
      </c>
      <c r="P7" t="s">
        <v>76</v>
      </c>
      <c r="Q7" t="s">
        <v>77</v>
      </c>
      <c r="R7" t="s">
        <v>78</v>
      </c>
      <c r="S7" t="s">
        <v>102</v>
      </c>
      <c r="T7" t="s">
        <v>102</v>
      </c>
      <c r="U7" t="s">
        <v>80</v>
      </c>
      <c r="V7" t="s">
        <v>80</v>
      </c>
      <c r="W7" t="s">
        <v>78</v>
      </c>
      <c r="X7" t="s">
        <v>112</v>
      </c>
      <c r="Y7">
        <v>10</v>
      </c>
      <c r="Z7">
        <v>6</v>
      </c>
      <c r="AA7" t="s">
        <v>82</v>
      </c>
      <c r="AB7" t="s">
        <v>83</v>
      </c>
      <c r="AC7">
        <v>6</v>
      </c>
      <c r="AD7">
        <v>8</v>
      </c>
      <c r="AE7">
        <v>4</v>
      </c>
      <c r="AF7">
        <v>7</v>
      </c>
      <c r="AG7">
        <v>6</v>
      </c>
      <c r="AH7">
        <v>7</v>
      </c>
      <c r="AI7" t="s">
        <v>80</v>
      </c>
      <c r="AJ7" t="s">
        <v>80</v>
      </c>
      <c r="AK7">
        <v>10</v>
      </c>
      <c r="AL7">
        <v>20</v>
      </c>
      <c r="AM7" t="s">
        <v>84</v>
      </c>
      <c r="AN7" t="s">
        <v>80</v>
      </c>
      <c r="AO7" t="s">
        <v>80</v>
      </c>
      <c r="AP7" t="s">
        <v>80</v>
      </c>
      <c r="AQ7">
        <v>4</v>
      </c>
      <c r="AR7">
        <v>3</v>
      </c>
      <c r="AS7">
        <v>4</v>
      </c>
      <c r="AT7" t="s">
        <v>85</v>
      </c>
      <c r="AU7">
        <v>12</v>
      </c>
      <c r="AV7" t="s">
        <v>80</v>
      </c>
      <c r="AW7" t="s">
        <v>80</v>
      </c>
      <c r="AX7">
        <v>7</v>
      </c>
      <c r="AY7" t="s">
        <v>78</v>
      </c>
      <c r="AZ7" t="s">
        <v>80</v>
      </c>
      <c r="BA7">
        <v>8</v>
      </c>
      <c r="BB7">
        <v>8</v>
      </c>
      <c r="BC7" t="s">
        <v>80</v>
      </c>
      <c r="BD7">
        <v>8</v>
      </c>
      <c r="BE7">
        <v>2</v>
      </c>
      <c r="BF7">
        <v>5</v>
      </c>
      <c r="BG7" t="s">
        <v>86</v>
      </c>
      <c r="BH7" t="s">
        <v>104</v>
      </c>
      <c r="BI7">
        <v>8</v>
      </c>
      <c r="BJ7">
        <v>8.4</v>
      </c>
      <c r="BK7">
        <v>2.7</v>
      </c>
      <c r="BL7">
        <v>8.9</v>
      </c>
    </row>
    <row r="8" spans="1:64" x14ac:dyDescent="0.25">
      <c r="A8" t="s">
        <v>121</v>
      </c>
      <c r="B8">
        <v>21</v>
      </c>
      <c r="C8" t="s">
        <v>106</v>
      </c>
      <c r="D8" t="s">
        <v>66</v>
      </c>
      <c r="E8" t="s">
        <v>107</v>
      </c>
      <c r="F8" t="s">
        <v>122</v>
      </c>
      <c r="G8" t="s">
        <v>123</v>
      </c>
      <c r="H8" t="s">
        <v>124</v>
      </c>
      <c r="I8" t="s">
        <v>71</v>
      </c>
      <c r="J8" t="s">
        <v>72</v>
      </c>
      <c r="K8" t="s">
        <v>73</v>
      </c>
      <c r="L8">
        <v>5.5</v>
      </c>
      <c r="M8">
        <v>5</v>
      </c>
      <c r="N8" t="s">
        <v>74</v>
      </c>
      <c r="O8" t="s">
        <v>93</v>
      </c>
      <c r="P8" t="s">
        <v>100</v>
      </c>
      <c r="Q8" t="s">
        <v>101</v>
      </c>
      <c r="R8" t="s">
        <v>78</v>
      </c>
      <c r="S8" t="s">
        <v>102</v>
      </c>
      <c r="T8" t="s">
        <v>102</v>
      </c>
      <c r="U8" t="s">
        <v>80</v>
      </c>
      <c r="V8" t="s">
        <v>80</v>
      </c>
      <c r="W8" t="s">
        <v>78</v>
      </c>
      <c r="X8" t="s">
        <v>125</v>
      </c>
      <c r="Y8">
        <v>9.5</v>
      </c>
      <c r="Z8">
        <v>6.5</v>
      </c>
      <c r="AA8" t="s">
        <v>126</v>
      </c>
      <c r="AB8" t="s">
        <v>103</v>
      </c>
      <c r="AC8">
        <v>6.5</v>
      </c>
      <c r="AD8">
        <v>7</v>
      </c>
      <c r="AE8">
        <v>4</v>
      </c>
      <c r="AF8">
        <v>8</v>
      </c>
      <c r="AG8">
        <v>8</v>
      </c>
      <c r="AH8">
        <v>7</v>
      </c>
      <c r="AI8" t="s">
        <v>80</v>
      </c>
      <c r="AJ8" t="s">
        <v>80</v>
      </c>
      <c r="AK8">
        <v>12</v>
      </c>
      <c r="AL8">
        <v>30</v>
      </c>
      <c r="AM8" t="s">
        <v>84</v>
      </c>
      <c r="AN8" t="s">
        <v>80</v>
      </c>
      <c r="AO8" t="s">
        <v>80</v>
      </c>
      <c r="AP8" t="s">
        <v>80</v>
      </c>
      <c r="AQ8">
        <v>4</v>
      </c>
      <c r="AR8">
        <v>4</v>
      </c>
      <c r="AS8">
        <v>4</v>
      </c>
      <c r="AT8" t="s">
        <v>85</v>
      </c>
      <c r="AU8">
        <v>15</v>
      </c>
      <c r="AV8" t="s">
        <v>80</v>
      </c>
      <c r="AW8" t="s">
        <v>80</v>
      </c>
      <c r="AX8">
        <v>7</v>
      </c>
      <c r="AY8" t="s">
        <v>78</v>
      </c>
      <c r="AZ8" t="s">
        <v>80</v>
      </c>
      <c r="BA8">
        <v>7</v>
      </c>
      <c r="BB8">
        <v>8</v>
      </c>
      <c r="BC8" t="s">
        <v>80</v>
      </c>
      <c r="BD8">
        <v>8</v>
      </c>
      <c r="BE8">
        <v>3</v>
      </c>
      <c r="BF8">
        <v>7</v>
      </c>
      <c r="BG8" t="s">
        <v>117</v>
      </c>
      <c r="BH8" t="s">
        <v>104</v>
      </c>
      <c r="BI8">
        <v>7.5</v>
      </c>
      <c r="BJ8">
        <v>8</v>
      </c>
      <c r="BK8">
        <v>3.2</v>
      </c>
      <c r="BL8">
        <v>8.5</v>
      </c>
    </row>
    <row r="9" spans="1:64" x14ac:dyDescent="0.25">
      <c r="A9" t="s">
        <v>127</v>
      </c>
      <c r="B9">
        <v>20</v>
      </c>
      <c r="C9" t="s">
        <v>106</v>
      </c>
      <c r="D9" t="s">
        <v>89</v>
      </c>
      <c r="E9" t="s">
        <v>90</v>
      </c>
      <c r="F9" t="s">
        <v>128</v>
      </c>
      <c r="G9" t="s">
        <v>129</v>
      </c>
      <c r="H9" t="s">
        <v>124</v>
      </c>
      <c r="I9" t="s">
        <v>71</v>
      </c>
      <c r="J9" t="s">
        <v>72</v>
      </c>
      <c r="K9" t="s">
        <v>73</v>
      </c>
      <c r="L9">
        <v>5</v>
      </c>
      <c r="M9">
        <v>4</v>
      </c>
      <c r="N9" t="s">
        <v>75</v>
      </c>
      <c r="O9" t="s">
        <v>130</v>
      </c>
      <c r="P9" t="s">
        <v>100</v>
      </c>
      <c r="Q9" t="s">
        <v>101</v>
      </c>
      <c r="R9" t="s">
        <v>111</v>
      </c>
      <c r="S9" t="s">
        <v>102</v>
      </c>
      <c r="T9" t="s">
        <v>111</v>
      </c>
      <c r="U9" t="s">
        <v>80</v>
      </c>
      <c r="V9" t="s">
        <v>80</v>
      </c>
      <c r="W9" t="s">
        <v>102</v>
      </c>
      <c r="X9" t="s">
        <v>112</v>
      </c>
      <c r="Y9">
        <v>9</v>
      </c>
      <c r="Z9">
        <v>6.5</v>
      </c>
      <c r="AA9" t="s">
        <v>126</v>
      </c>
      <c r="AB9" t="s">
        <v>103</v>
      </c>
      <c r="AC9">
        <v>7</v>
      </c>
      <c r="AD9">
        <v>7</v>
      </c>
      <c r="AE9">
        <v>4</v>
      </c>
      <c r="AF9">
        <v>6</v>
      </c>
      <c r="AG9">
        <v>5</v>
      </c>
      <c r="AH9">
        <v>5</v>
      </c>
      <c r="AI9" t="s">
        <v>80</v>
      </c>
      <c r="AJ9" t="s">
        <v>80</v>
      </c>
      <c r="AK9">
        <v>15</v>
      </c>
      <c r="AL9">
        <v>35</v>
      </c>
      <c r="AM9" t="s">
        <v>131</v>
      </c>
      <c r="AN9" t="s">
        <v>80</v>
      </c>
      <c r="AO9" t="s">
        <v>80</v>
      </c>
      <c r="AP9" t="s">
        <v>111</v>
      </c>
      <c r="AQ9">
        <v>5</v>
      </c>
      <c r="AR9">
        <v>4</v>
      </c>
      <c r="AS9">
        <v>5</v>
      </c>
      <c r="AT9" t="s">
        <v>131</v>
      </c>
      <c r="AU9">
        <v>20</v>
      </c>
      <c r="AV9" t="s">
        <v>80</v>
      </c>
      <c r="AW9" t="s">
        <v>80</v>
      </c>
      <c r="AX9">
        <v>6</v>
      </c>
      <c r="AY9" t="s">
        <v>102</v>
      </c>
      <c r="AZ9" t="s">
        <v>80</v>
      </c>
      <c r="BA9">
        <v>7</v>
      </c>
      <c r="BB9">
        <v>6</v>
      </c>
      <c r="BC9" t="s">
        <v>80</v>
      </c>
      <c r="BD9">
        <v>7</v>
      </c>
      <c r="BE9">
        <v>3</v>
      </c>
      <c r="BF9">
        <v>10</v>
      </c>
      <c r="BG9" t="s">
        <v>86</v>
      </c>
      <c r="BH9" t="s">
        <v>131</v>
      </c>
      <c r="BI9">
        <v>6.5</v>
      </c>
      <c r="BJ9">
        <v>7</v>
      </c>
      <c r="BK9">
        <v>4</v>
      </c>
      <c r="BL9">
        <v>7.5</v>
      </c>
    </row>
    <row r="10" spans="1:64" x14ac:dyDescent="0.25">
      <c r="A10" t="s">
        <v>132</v>
      </c>
      <c r="B10">
        <v>22</v>
      </c>
      <c r="C10" t="s">
        <v>106</v>
      </c>
      <c r="D10" t="s">
        <v>66</v>
      </c>
      <c r="E10" t="s">
        <v>67</v>
      </c>
      <c r="F10" t="s">
        <v>133</v>
      </c>
      <c r="G10" t="s">
        <v>134</v>
      </c>
      <c r="H10" t="s">
        <v>124</v>
      </c>
      <c r="I10" t="s">
        <v>71</v>
      </c>
      <c r="J10" t="s">
        <v>72</v>
      </c>
      <c r="K10" t="s">
        <v>73</v>
      </c>
      <c r="L10">
        <v>7</v>
      </c>
      <c r="M10">
        <v>5</v>
      </c>
      <c r="N10" t="s">
        <v>74</v>
      </c>
      <c r="O10" t="s">
        <v>135</v>
      </c>
      <c r="P10" t="s">
        <v>76</v>
      </c>
      <c r="Q10" t="s">
        <v>77</v>
      </c>
      <c r="R10" t="s">
        <v>78</v>
      </c>
      <c r="S10" t="s">
        <v>79</v>
      </c>
      <c r="T10" t="s">
        <v>102</v>
      </c>
      <c r="U10" t="s">
        <v>80</v>
      </c>
      <c r="V10" t="s">
        <v>80</v>
      </c>
      <c r="W10" t="s">
        <v>78</v>
      </c>
      <c r="X10" t="s">
        <v>81</v>
      </c>
      <c r="Y10">
        <v>11</v>
      </c>
      <c r="Z10">
        <v>5.5</v>
      </c>
      <c r="AA10" t="s">
        <v>82</v>
      </c>
      <c r="AB10" t="s">
        <v>83</v>
      </c>
      <c r="AC10">
        <v>5.5</v>
      </c>
      <c r="AD10">
        <v>9</v>
      </c>
      <c r="AE10">
        <v>5</v>
      </c>
      <c r="AF10">
        <v>8</v>
      </c>
      <c r="AG10">
        <v>8</v>
      </c>
      <c r="AH10">
        <v>9</v>
      </c>
      <c r="AI10" t="s">
        <v>80</v>
      </c>
      <c r="AJ10" t="s">
        <v>80</v>
      </c>
      <c r="AK10">
        <v>8</v>
      </c>
      <c r="AL10">
        <v>18</v>
      </c>
      <c r="AM10" t="s">
        <v>84</v>
      </c>
      <c r="AN10" t="s">
        <v>80</v>
      </c>
      <c r="AO10" t="s">
        <v>80</v>
      </c>
      <c r="AP10" t="s">
        <v>80</v>
      </c>
      <c r="AQ10">
        <v>3</v>
      </c>
      <c r="AR10">
        <v>3</v>
      </c>
      <c r="AS10">
        <v>3</v>
      </c>
      <c r="AT10" t="s">
        <v>85</v>
      </c>
      <c r="AU10">
        <v>10</v>
      </c>
      <c r="AV10" t="s">
        <v>80</v>
      </c>
      <c r="AW10" t="s">
        <v>80</v>
      </c>
      <c r="AX10">
        <v>8</v>
      </c>
      <c r="AY10" t="s">
        <v>78</v>
      </c>
      <c r="AZ10" t="s">
        <v>80</v>
      </c>
      <c r="BA10">
        <v>9</v>
      </c>
      <c r="BB10">
        <v>9</v>
      </c>
      <c r="BC10" t="s">
        <v>80</v>
      </c>
      <c r="BD10">
        <v>10</v>
      </c>
      <c r="BE10">
        <v>2</v>
      </c>
      <c r="BF10">
        <v>3</v>
      </c>
      <c r="BG10" t="s">
        <v>136</v>
      </c>
      <c r="BH10" t="s">
        <v>87</v>
      </c>
      <c r="BI10">
        <v>9.1999999999999993</v>
      </c>
      <c r="BJ10">
        <v>9.4</v>
      </c>
      <c r="BK10">
        <v>2</v>
      </c>
      <c r="BL10">
        <v>9.6999999999999993</v>
      </c>
    </row>
    <row r="11" spans="1:64" x14ac:dyDescent="0.25">
      <c r="A11" t="s">
        <v>137</v>
      </c>
      <c r="B11">
        <v>17</v>
      </c>
      <c r="C11" t="s">
        <v>65</v>
      </c>
      <c r="D11" t="s">
        <v>89</v>
      </c>
      <c r="E11" t="s">
        <v>97</v>
      </c>
      <c r="F11" t="s">
        <v>138</v>
      </c>
      <c r="G11" t="s">
        <v>139</v>
      </c>
      <c r="H11" t="s">
        <v>70</v>
      </c>
      <c r="I11" t="s">
        <v>71</v>
      </c>
      <c r="J11" t="s">
        <v>72</v>
      </c>
      <c r="K11" t="s">
        <v>73</v>
      </c>
      <c r="L11">
        <v>5.5</v>
      </c>
      <c r="M11">
        <v>3</v>
      </c>
      <c r="N11" t="s">
        <v>75</v>
      </c>
      <c r="O11" t="s">
        <v>93</v>
      </c>
      <c r="P11" t="s">
        <v>100</v>
      </c>
      <c r="Q11" t="s">
        <v>101</v>
      </c>
      <c r="R11" t="s">
        <v>78</v>
      </c>
      <c r="S11" t="s">
        <v>102</v>
      </c>
      <c r="T11" t="s">
        <v>111</v>
      </c>
      <c r="U11" t="s">
        <v>80</v>
      </c>
      <c r="V11" t="s">
        <v>80</v>
      </c>
      <c r="W11" t="s">
        <v>78</v>
      </c>
      <c r="X11" t="s">
        <v>81</v>
      </c>
      <c r="Y11">
        <v>9</v>
      </c>
      <c r="Z11">
        <v>6.5</v>
      </c>
      <c r="AA11" t="s">
        <v>126</v>
      </c>
      <c r="AB11" t="s">
        <v>103</v>
      </c>
      <c r="AC11">
        <v>6</v>
      </c>
      <c r="AD11">
        <v>7</v>
      </c>
      <c r="AE11">
        <v>4</v>
      </c>
      <c r="AF11">
        <v>6</v>
      </c>
      <c r="AG11">
        <v>6</v>
      </c>
      <c r="AH11">
        <v>6</v>
      </c>
      <c r="AI11" t="s">
        <v>80</v>
      </c>
      <c r="AJ11" t="s">
        <v>80</v>
      </c>
      <c r="AK11">
        <v>12</v>
      </c>
      <c r="AL11">
        <v>28</v>
      </c>
      <c r="AM11" t="s">
        <v>84</v>
      </c>
      <c r="AN11" t="s">
        <v>80</v>
      </c>
      <c r="AO11" t="s">
        <v>80</v>
      </c>
      <c r="AP11" t="s">
        <v>80</v>
      </c>
      <c r="AQ11">
        <v>5</v>
      </c>
      <c r="AR11">
        <v>4</v>
      </c>
      <c r="AS11">
        <v>5</v>
      </c>
      <c r="AT11" t="s">
        <v>131</v>
      </c>
      <c r="AU11">
        <v>15</v>
      </c>
      <c r="AV11" t="s">
        <v>80</v>
      </c>
      <c r="AW11" t="s">
        <v>80</v>
      </c>
      <c r="AX11">
        <v>6</v>
      </c>
      <c r="AY11" t="s">
        <v>78</v>
      </c>
      <c r="AZ11" t="s">
        <v>80</v>
      </c>
      <c r="BA11">
        <v>7</v>
      </c>
      <c r="BB11">
        <v>7</v>
      </c>
      <c r="BC11" t="s">
        <v>80</v>
      </c>
      <c r="BD11">
        <v>7</v>
      </c>
      <c r="BE11">
        <v>2</v>
      </c>
      <c r="BF11">
        <v>5</v>
      </c>
      <c r="BG11" t="s">
        <v>86</v>
      </c>
      <c r="BH11" t="s">
        <v>104</v>
      </c>
      <c r="BI11">
        <v>7.2</v>
      </c>
      <c r="BJ11">
        <v>7.6</v>
      </c>
      <c r="BK11">
        <v>3.5</v>
      </c>
      <c r="BL11">
        <v>8</v>
      </c>
    </row>
    <row r="12" spans="1:64" x14ac:dyDescent="0.25">
      <c r="A12" t="s">
        <v>140</v>
      </c>
      <c r="B12">
        <v>23</v>
      </c>
      <c r="C12" t="s">
        <v>106</v>
      </c>
      <c r="D12" t="s">
        <v>66</v>
      </c>
      <c r="E12" t="s">
        <v>107</v>
      </c>
      <c r="F12" t="s">
        <v>141</v>
      </c>
      <c r="G12" t="s">
        <v>142</v>
      </c>
      <c r="H12" t="s">
        <v>124</v>
      </c>
      <c r="I12" t="s">
        <v>71</v>
      </c>
      <c r="J12" t="s">
        <v>72</v>
      </c>
      <c r="K12" t="s">
        <v>143</v>
      </c>
      <c r="L12">
        <v>5</v>
      </c>
      <c r="M12">
        <v>5</v>
      </c>
      <c r="N12" t="s">
        <v>93</v>
      </c>
      <c r="O12" t="s">
        <v>74</v>
      </c>
      <c r="P12" t="s">
        <v>100</v>
      </c>
      <c r="Q12" t="s">
        <v>101</v>
      </c>
      <c r="R12" t="s">
        <v>102</v>
      </c>
      <c r="S12" t="s">
        <v>102</v>
      </c>
      <c r="T12" t="s">
        <v>111</v>
      </c>
      <c r="U12" t="s">
        <v>80</v>
      </c>
      <c r="V12" t="s">
        <v>80</v>
      </c>
      <c r="W12" t="s">
        <v>102</v>
      </c>
      <c r="X12" t="s">
        <v>125</v>
      </c>
      <c r="Y12">
        <v>9</v>
      </c>
      <c r="Z12">
        <v>7</v>
      </c>
      <c r="AA12" t="s">
        <v>126</v>
      </c>
      <c r="AB12" t="s">
        <v>103</v>
      </c>
      <c r="AC12">
        <v>6.5</v>
      </c>
      <c r="AD12">
        <v>7</v>
      </c>
      <c r="AE12">
        <v>4</v>
      </c>
      <c r="AF12">
        <v>7</v>
      </c>
      <c r="AG12">
        <v>7</v>
      </c>
      <c r="AH12">
        <v>7</v>
      </c>
      <c r="AI12" t="s">
        <v>80</v>
      </c>
      <c r="AJ12" t="s">
        <v>80</v>
      </c>
      <c r="AK12">
        <v>14</v>
      </c>
      <c r="AL12">
        <v>32</v>
      </c>
      <c r="AM12" t="s">
        <v>131</v>
      </c>
      <c r="AN12" t="s">
        <v>80</v>
      </c>
      <c r="AO12" t="s">
        <v>80</v>
      </c>
      <c r="AP12" t="s">
        <v>111</v>
      </c>
      <c r="AQ12">
        <v>5</v>
      </c>
      <c r="AR12">
        <v>4</v>
      </c>
      <c r="AS12">
        <v>5</v>
      </c>
      <c r="AT12" t="s">
        <v>131</v>
      </c>
      <c r="AU12">
        <v>18</v>
      </c>
      <c r="AV12" t="s">
        <v>80</v>
      </c>
      <c r="AW12" t="s">
        <v>80</v>
      </c>
      <c r="AX12">
        <v>6</v>
      </c>
      <c r="AY12" t="s">
        <v>102</v>
      </c>
      <c r="AZ12" t="s">
        <v>80</v>
      </c>
      <c r="BA12">
        <v>7</v>
      </c>
      <c r="BB12">
        <v>7</v>
      </c>
      <c r="BC12" t="s">
        <v>80</v>
      </c>
      <c r="BD12">
        <v>7</v>
      </c>
      <c r="BE12">
        <v>3</v>
      </c>
      <c r="BF12">
        <v>8</v>
      </c>
      <c r="BG12" t="s">
        <v>117</v>
      </c>
      <c r="BH12" t="s">
        <v>131</v>
      </c>
      <c r="BI12">
        <v>6.8</v>
      </c>
      <c r="BJ12">
        <v>7.2</v>
      </c>
      <c r="BK12">
        <v>3.8</v>
      </c>
      <c r="BL12">
        <v>7.8</v>
      </c>
    </row>
    <row r="13" spans="1:64" x14ac:dyDescent="0.25">
      <c r="A13" t="s">
        <v>144</v>
      </c>
      <c r="B13">
        <v>19</v>
      </c>
      <c r="C13" t="s">
        <v>106</v>
      </c>
      <c r="D13" t="s">
        <v>89</v>
      </c>
      <c r="E13" t="s">
        <v>114</v>
      </c>
      <c r="F13" t="s">
        <v>145</v>
      </c>
      <c r="G13" t="s">
        <v>146</v>
      </c>
      <c r="H13" t="s">
        <v>70</v>
      </c>
      <c r="I13" t="s">
        <v>71</v>
      </c>
      <c r="J13" t="s">
        <v>72</v>
      </c>
      <c r="K13" t="s">
        <v>73</v>
      </c>
      <c r="L13">
        <v>6.5</v>
      </c>
      <c r="M13">
        <v>4</v>
      </c>
      <c r="N13" t="s">
        <v>74</v>
      </c>
      <c r="O13" t="s">
        <v>93</v>
      </c>
      <c r="P13" t="s">
        <v>76</v>
      </c>
      <c r="Q13" t="s">
        <v>77</v>
      </c>
      <c r="R13" t="s">
        <v>78</v>
      </c>
      <c r="S13" t="s">
        <v>79</v>
      </c>
      <c r="T13" t="s">
        <v>102</v>
      </c>
      <c r="U13" t="s">
        <v>80</v>
      </c>
      <c r="V13" t="s">
        <v>80</v>
      </c>
      <c r="W13" t="s">
        <v>78</v>
      </c>
      <c r="X13" t="s">
        <v>147</v>
      </c>
      <c r="Y13">
        <v>10.5</v>
      </c>
      <c r="Z13">
        <v>6</v>
      </c>
      <c r="AA13" t="s">
        <v>82</v>
      </c>
      <c r="AB13" t="s">
        <v>103</v>
      </c>
      <c r="AC13">
        <v>5.5</v>
      </c>
      <c r="AD13">
        <v>8</v>
      </c>
      <c r="AE13">
        <v>4</v>
      </c>
      <c r="AF13">
        <v>7</v>
      </c>
      <c r="AG13">
        <v>6</v>
      </c>
      <c r="AH13">
        <v>6</v>
      </c>
      <c r="AI13" t="s">
        <v>80</v>
      </c>
      <c r="AJ13" t="s">
        <v>80</v>
      </c>
      <c r="AK13">
        <v>10</v>
      </c>
      <c r="AL13">
        <v>22</v>
      </c>
      <c r="AM13" t="s">
        <v>84</v>
      </c>
      <c r="AN13" t="s">
        <v>80</v>
      </c>
      <c r="AO13" t="s">
        <v>80</v>
      </c>
      <c r="AP13" t="s">
        <v>80</v>
      </c>
      <c r="AQ13">
        <v>4</v>
      </c>
      <c r="AR13">
        <v>3</v>
      </c>
      <c r="AS13">
        <v>4</v>
      </c>
      <c r="AT13" t="s">
        <v>85</v>
      </c>
      <c r="AU13">
        <v>12</v>
      </c>
      <c r="AV13" t="s">
        <v>80</v>
      </c>
      <c r="AW13" t="s">
        <v>80</v>
      </c>
      <c r="AX13">
        <v>7</v>
      </c>
      <c r="AY13" t="s">
        <v>78</v>
      </c>
      <c r="AZ13" t="s">
        <v>80</v>
      </c>
      <c r="BA13">
        <v>8</v>
      </c>
      <c r="BB13">
        <v>8</v>
      </c>
      <c r="BC13" t="s">
        <v>80</v>
      </c>
      <c r="BD13">
        <v>9</v>
      </c>
      <c r="BE13">
        <v>2</v>
      </c>
      <c r="BF13">
        <v>4</v>
      </c>
      <c r="BG13" t="s">
        <v>86</v>
      </c>
      <c r="BH13" t="s">
        <v>104</v>
      </c>
      <c r="BI13">
        <v>7.9</v>
      </c>
      <c r="BJ13">
        <v>8.3000000000000007</v>
      </c>
      <c r="BK13">
        <v>2.8</v>
      </c>
      <c r="BL13">
        <v>8.6999999999999993</v>
      </c>
    </row>
    <row r="14" spans="1:64" x14ac:dyDescent="0.25">
      <c r="A14" t="s">
        <v>148</v>
      </c>
      <c r="B14">
        <v>21</v>
      </c>
      <c r="C14" t="s">
        <v>106</v>
      </c>
      <c r="D14" t="s">
        <v>66</v>
      </c>
      <c r="E14" t="s">
        <v>149</v>
      </c>
      <c r="F14" t="s">
        <v>150</v>
      </c>
      <c r="G14" t="s">
        <v>151</v>
      </c>
      <c r="H14" t="s">
        <v>124</v>
      </c>
      <c r="I14" t="s">
        <v>71</v>
      </c>
      <c r="J14" t="s">
        <v>72</v>
      </c>
      <c r="K14" t="s">
        <v>73</v>
      </c>
      <c r="L14">
        <v>6</v>
      </c>
      <c r="M14">
        <v>4</v>
      </c>
      <c r="N14" t="s">
        <v>74</v>
      </c>
      <c r="O14" t="s">
        <v>93</v>
      </c>
      <c r="P14" t="s">
        <v>100</v>
      </c>
      <c r="Q14" t="s">
        <v>101</v>
      </c>
      <c r="R14" t="s">
        <v>78</v>
      </c>
      <c r="S14" t="s">
        <v>102</v>
      </c>
      <c r="T14" t="s">
        <v>102</v>
      </c>
      <c r="U14" t="s">
        <v>80</v>
      </c>
      <c r="V14" t="s">
        <v>80</v>
      </c>
      <c r="W14" t="s">
        <v>78</v>
      </c>
      <c r="X14" t="s">
        <v>125</v>
      </c>
      <c r="Y14">
        <v>10</v>
      </c>
      <c r="Z14">
        <v>6.5</v>
      </c>
      <c r="AA14" t="s">
        <v>126</v>
      </c>
      <c r="AB14" t="s">
        <v>83</v>
      </c>
      <c r="AC14">
        <v>6</v>
      </c>
      <c r="AD14">
        <v>8</v>
      </c>
      <c r="AE14">
        <v>4</v>
      </c>
      <c r="AF14">
        <v>7</v>
      </c>
      <c r="AG14">
        <v>8</v>
      </c>
      <c r="AH14">
        <v>8</v>
      </c>
      <c r="AI14" t="s">
        <v>80</v>
      </c>
      <c r="AJ14" t="s">
        <v>80</v>
      </c>
      <c r="AK14">
        <v>12</v>
      </c>
      <c r="AL14">
        <v>28</v>
      </c>
      <c r="AM14" t="s">
        <v>84</v>
      </c>
      <c r="AN14" t="s">
        <v>80</v>
      </c>
      <c r="AO14" t="s">
        <v>80</v>
      </c>
      <c r="AP14" t="s">
        <v>80</v>
      </c>
      <c r="AQ14">
        <v>4</v>
      </c>
      <c r="AR14">
        <v>4</v>
      </c>
      <c r="AS14">
        <v>4</v>
      </c>
      <c r="AT14" t="s">
        <v>85</v>
      </c>
      <c r="AU14">
        <v>14</v>
      </c>
      <c r="AV14" t="s">
        <v>80</v>
      </c>
      <c r="AW14" t="s">
        <v>80</v>
      </c>
      <c r="AX14">
        <v>7</v>
      </c>
      <c r="AY14" t="s">
        <v>78</v>
      </c>
      <c r="AZ14" t="s">
        <v>80</v>
      </c>
      <c r="BA14">
        <v>8</v>
      </c>
      <c r="BB14">
        <v>8</v>
      </c>
      <c r="BC14" t="s">
        <v>80</v>
      </c>
      <c r="BD14">
        <v>8</v>
      </c>
      <c r="BE14">
        <v>2</v>
      </c>
      <c r="BF14">
        <v>5</v>
      </c>
      <c r="BG14" t="s">
        <v>152</v>
      </c>
      <c r="BH14" t="s">
        <v>104</v>
      </c>
      <c r="BI14">
        <v>7.8</v>
      </c>
      <c r="BJ14">
        <v>8.1</v>
      </c>
      <c r="BK14">
        <v>3</v>
      </c>
      <c r="BL14">
        <v>8.6</v>
      </c>
    </row>
    <row r="15" spans="1:64" x14ac:dyDescent="0.25">
      <c r="A15" t="s">
        <v>153</v>
      </c>
      <c r="B15">
        <v>24</v>
      </c>
      <c r="C15" t="s">
        <v>154</v>
      </c>
      <c r="D15" t="s">
        <v>89</v>
      </c>
      <c r="E15" t="s">
        <v>67</v>
      </c>
      <c r="F15" t="s">
        <v>68</v>
      </c>
      <c r="G15" t="s">
        <v>69</v>
      </c>
      <c r="H15" t="s">
        <v>124</v>
      </c>
      <c r="I15" t="s">
        <v>71</v>
      </c>
      <c r="J15" t="s">
        <v>72</v>
      </c>
      <c r="K15" t="s">
        <v>73</v>
      </c>
      <c r="L15">
        <v>5.5</v>
      </c>
      <c r="M15">
        <v>5</v>
      </c>
      <c r="N15" t="s">
        <v>75</v>
      </c>
      <c r="O15" t="s">
        <v>74</v>
      </c>
      <c r="P15" t="s">
        <v>100</v>
      </c>
      <c r="Q15" t="s">
        <v>101</v>
      </c>
      <c r="R15" t="s">
        <v>111</v>
      </c>
      <c r="S15" t="s">
        <v>102</v>
      </c>
      <c r="T15" t="s">
        <v>111</v>
      </c>
      <c r="U15" t="s">
        <v>80</v>
      </c>
      <c r="V15" t="s">
        <v>80</v>
      </c>
      <c r="W15" t="s">
        <v>102</v>
      </c>
      <c r="X15" t="s">
        <v>155</v>
      </c>
      <c r="Y15">
        <v>9</v>
      </c>
      <c r="Z15">
        <v>7</v>
      </c>
      <c r="AA15" t="s">
        <v>126</v>
      </c>
      <c r="AB15" t="s">
        <v>103</v>
      </c>
      <c r="AC15">
        <v>7</v>
      </c>
      <c r="AD15">
        <v>7</v>
      </c>
      <c r="AE15">
        <v>3</v>
      </c>
      <c r="AF15">
        <v>6</v>
      </c>
      <c r="AG15">
        <v>5</v>
      </c>
      <c r="AH15">
        <v>5</v>
      </c>
      <c r="AI15" t="s">
        <v>80</v>
      </c>
      <c r="AJ15" t="s">
        <v>80</v>
      </c>
      <c r="AK15">
        <v>15</v>
      </c>
      <c r="AL15">
        <v>35</v>
      </c>
      <c r="AM15" t="s">
        <v>131</v>
      </c>
      <c r="AN15" t="s">
        <v>80</v>
      </c>
      <c r="AO15" t="s">
        <v>111</v>
      </c>
      <c r="AP15" t="s">
        <v>111</v>
      </c>
      <c r="AQ15">
        <v>5</v>
      </c>
      <c r="AR15">
        <v>4</v>
      </c>
      <c r="AS15">
        <v>5</v>
      </c>
      <c r="AT15" t="s">
        <v>131</v>
      </c>
      <c r="AU15">
        <v>22</v>
      </c>
      <c r="AV15" t="s">
        <v>80</v>
      </c>
      <c r="AW15" t="s">
        <v>80</v>
      </c>
      <c r="AX15">
        <v>5</v>
      </c>
      <c r="AY15" t="s">
        <v>102</v>
      </c>
      <c r="AZ15" t="s">
        <v>80</v>
      </c>
      <c r="BA15">
        <v>6</v>
      </c>
      <c r="BB15">
        <v>6</v>
      </c>
      <c r="BC15" t="s">
        <v>111</v>
      </c>
      <c r="BD15">
        <v>6</v>
      </c>
      <c r="BE15">
        <v>4</v>
      </c>
      <c r="BF15">
        <v>12</v>
      </c>
      <c r="BG15" t="s">
        <v>86</v>
      </c>
      <c r="BH15" t="s">
        <v>131</v>
      </c>
      <c r="BI15">
        <v>6.2</v>
      </c>
      <c r="BJ15">
        <v>6.8</v>
      </c>
      <c r="BK15">
        <v>4.2</v>
      </c>
      <c r="BL15">
        <v>7.2</v>
      </c>
    </row>
    <row r="16" spans="1:64" x14ac:dyDescent="0.25">
      <c r="A16" t="s">
        <v>156</v>
      </c>
      <c r="B16">
        <v>20</v>
      </c>
      <c r="C16" t="s">
        <v>106</v>
      </c>
      <c r="D16" t="s">
        <v>66</v>
      </c>
      <c r="E16" t="s">
        <v>90</v>
      </c>
      <c r="F16" t="s">
        <v>157</v>
      </c>
      <c r="G16" t="s">
        <v>158</v>
      </c>
      <c r="H16" t="s">
        <v>124</v>
      </c>
      <c r="I16" t="s">
        <v>71</v>
      </c>
      <c r="J16" t="s">
        <v>72</v>
      </c>
      <c r="K16" t="s">
        <v>73</v>
      </c>
      <c r="L16">
        <v>7.5</v>
      </c>
      <c r="M16">
        <v>6</v>
      </c>
      <c r="N16" t="s">
        <v>74</v>
      </c>
      <c r="O16" t="s">
        <v>93</v>
      </c>
      <c r="P16" t="s">
        <v>76</v>
      </c>
      <c r="Q16" t="s">
        <v>77</v>
      </c>
      <c r="R16" t="s">
        <v>78</v>
      </c>
      <c r="S16" t="s">
        <v>79</v>
      </c>
      <c r="T16" t="s">
        <v>79</v>
      </c>
      <c r="U16" t="s">
        <v>80</v>
      </c>
      <c r="V16" t="s">
        <v>80</v>
      </c>
      <c r="W16" t="s">
        <v>78</v>
      </c>
      <c r="X16" t="s">
        <v>81</v>
      </c>
      <c r="Y16">
        <v>12</v>
      </c>
      <c r="Z16">
        <v>5.5</v>
      </c>
      <c r="AA16" t="s">
        <v>82</v>
      </c>
      <c r="AB16" t="s">
        <v>83</v>
      </c>
      <c r="AC16">
        <v>5.5</v>
      </c>
      <c r="AD16">
        <v>9</v>
      </c>
      <c r="AE16">
        <v>5</v>
      </c>
      <c r="AF16">
        <v>9</v>
      </c>
      <c r="AG16">
        <v>9</v>
      </c>
      <c r="AH16">
        <v>9</v>
      </c>
      <c r="AI16" t="s">
        <v>80</v>
      </c>
      <c r="AJ16" t="s">
        <v>80</v>
      </c>
      <c r="AK16">
        <v>7</v>
      </c>
      <c r="AL16">
        <v>15</v>
      </c>
      <c r="AM16" t="s">
        <v>84</v>
      </c>
      <c r="AN16" t="s">
        <v>80</v>
      </c>
      <c r="AO16" t="s">
        <v>80</v>
      </c>
      <c r="AP16" t="s">
        <v>80</v>
      </c>
      <c r="AQ16">
        <v>3</v>
      </c>
      <c r="AR16">
        <v>3</v>
      </c>
      <c r="AS16">
        <v>3</v>
      </c>
      <c r="AT16" t="s">
        <v>85</v>
      </c>
      <c r="AU16">
        <v>8</v>
      </c>
      <c r="AV16" t="s">
        <v>80</v>
      </c>
      <c r="AW16" t="s">
        <v>80</v>
      </c>
      <c r="AX16">
        <v>9</v>
      </c>
      <c r="AY16" t="s">
        <v>78</v>
      </c>
      <c r="AZ16" t="s">
        <v>80</v>
      </c>
      <c r="BA16">
        <v>9</v>
      </c>
      <c r="BB16">
        <v>9</v>
      </c>
      <c r="BC16" t="s">
        <v>80</v>
      </c>
      <c r="BD16">
        <v>10</v>
      </c>
      <c r="BE16">
        <v>1</v>
      </c>
      <c r="BF16">
        <v>2</v>
      </c>
      <c r="BG16" t="s">
        <v>136</v>
      </c>
      <c r="BH16" t="s">
        <v>87</v>
      </c>
      <c r="BI16">
        <v>9.5</v>
      </c>
      <c r="BJ16">
        <v>9.6999999999999993</v>
      </c>
      <c r="BK16">
        <v>1.8</v>
      </c>
      <c r="BL16">
        <v>9.9</v>
      </c>
    </row>
    <row r="17" spans="1:64" x14ac:dyDescent="0.25">
      <c r="A17" t="s">
        <v>159</v>
      </c>
      <c r="B17">
        <v>18</v>
      </c>
      <c r="C17" t="s">
        <v>106</v>
      </c>
      <c r="D17" t="s">
        <v>89</v>
      </c>
      <c r="E17" t="s">
        <v>107</v>
      </c>
      <c r="F17" t="s">
        <v>160</v>
      </c>
      <c r="G17" t="s">
        <v>161</v>
      </c>
      <c r="H17" t="s">
        <v>70</v>
      </c>
      <c r="I17" t="s">
        <v>71</v>
      </c>
      <c r="J17" t="s">
        <v>72</v>
      </c>
      <c r="K17" t="s">
        <v>73</v>
      </c>
      <c r="L17">
        <v>5</v>
      </c>
      <c r="M17">
        <v>4</v>
      </c>
      <c r="N17" t="s">
        <v>75</v>
      </c>
      <c r="O17" t="s">
        <v>110</v>
      </c>
      <c r="P17" t="s">
        <v>100</v>
      </c>
      <c r="Q17" t="s">
        <v>101</v>
      </c>
      <c r="R17" t="s">
        <v>102</v>
      </c>
      <c r="S17" t="s">
        <v>102</v>
      </c>
      <c r="T17" t="s">
        <v>111</v>
      </c>
      <c r="U17" t="s">
        <v>80</v>
      </c>
      <c r="V17" t="s">
        <v>80</v>
      </c>
      <c r="W17" t="s">
        <v>78</v>
      </c>
      <c r="X17" t="s">
        <v>112</v>
      </c>
      <c r="Y17">
        <v>9.5</v>
      </c>
      <c r="Z17">
        <v>7</v>
      </c>
      <c r="AA17" t="s">
        <v>126</v>
      </c>
      <c r="AB17" t="s">
        <v>103</v>
      </c>
      <c r="AC17">
        <v>6.5</v>
      </c>
      <c r="AD17">
        <v>7</v>
      </c>
      <c r="AE17">
        <v>4</v>
      </c>
      <c r="AF17">
        <v>6</v>
      </c>
      <c r="AG17">
        <v>5</v>
      </c>
      <c r="AH17">
        <v>6</v>
      </c>
      <c r="AI17" t="s">
        <v>80</v>
      </c>
      <c r="AJ17" t="s">
        <v>80</v>
      </c>
      <c r="AK17">
        <v>14</v>
      </c>
      <c r="AL17">
        <v>30</v>
      </c>
      <c r="AM17" t="s">
        <v>131</v>
      </c>
      <c r="AN17" t="s">
        <v>80</v>
      </c>
      <c r="AO17" t="s">
        <v>80</v>
      </c>
      <c r="AP17" t="s">
        <v>111</v>
      </c>
      <c r="AQ17">
        <v>5</v>
      </c>
      <c r="AR17">
        <v>4</v>
      </c>
      <c r="AS17">
        <v>5</v>
      </c>
      <c r="AT17" t="s">
        <v>131</v>
      </c>
      <c r="AU17">
        <v>18</v>
      </c>
      <c r="AV17" t="s">
        <v>80</v>
      </c>
      <c r="AW17" t="s">
        <v>80</v>
      </c>
      <c r="AX17">
        <v>6</v>
      </c>
      <c r="AY17" t="s">
        <v>102</v>
      </c>
      <c r="AZ17" t="s">
        <v>80</v>
      </c>
      <c r="BA17">
        <v>7</v>
      </c>
      <c r="BB17">
        <v>7</v>
      </c>
      <c r="BC17" t="s">
        <v>80</v>
      </c>
      <c r="BD17">
        <v>7</v>
      </c>
      <c r="BE17">
        <v>3</v>
      </c>
      <c r="BF17">
        <v>8</v>
      </c>
      <c r="BG17" t="s">
        <v>86</v>
      </c>
      <c r="BH17" t="s">
        <v>131</v>
      </c>
      <c r="BI17">
        <v>6.5</v>
      </c>
      <c r="BJ17">
        <v>7</v>
      </c>
      <c r="BK17">
        <v>3.8</v>
      </c>
      <c r="BL17">
        <v>7.5</v>
      </c>
    </row>
    <row r="18" spans="1:64" x14ac:dyDescent="0.25">
      <c r="A18" t="s">
        <v>162</v>
      </c>
      <c r="B18">
        <v>22</v>
      </c>
      <c r="C18" t="s">
        <v>106</v>
      </c>
      <c r="D18" t="s">
        <v>66</v>
      </c>
      <c r="E18" t="s">
        <v>97</v>
      </c>
      <c r="F18" t="s">
        <v>163</v>
      </c>
      <c r="G18" t="s">
        <v>164</v>
      </c>
      <c r="H18" t="s">
        <v>124</v>
      </c>
      <c r="I18" t="s">
        <v>71</v>
      </c>
      <c r="J18" t="s">
        <v>72</v>
      </c>
      <c r="K18" t="s">
        <v>73</v>
      </c>
      <c r="L18">
        <v>6</v>
      </c>
      <c r="M18">
        <v>4</v>
      </c>
      <c r="N18" t="s">
        <v>74</v>
      </c>
      <c r="O18" t="s">
        <v>93</v>
      </c>
      <c r="P18" t="s">
        <v>100</v>
      </c>
      <c r="Q18" t="s">
        <v>101</v>
      </c>
      <c r="R18" t="s">
        <v>78</v>
      </c>
      <c r="S18" t="s">
        <v>102</v>
      </c>
      <c r="T18" t="s">
        <v>102</v>
      </c>
      <c r="U18" t="s">
        <v>80</v>
      </c>
      <c r="V18" t="s">
        <v>80</v>
      </c>
      <c r="W18" t="s">
        <v>78</v>
      </c>
      <c r="X18" t="s">
        <v>125</v>
      </c>
      <c r="Y18">
        <v>10</v>
      </c>
      <c r="Z18">
        <v>6.5</v>
      </c>
      <c r="AA18" t="s">
        <v>126</v>
      </c>
      <c r="AB18" t="s">
        <v>103</v>
      </c>
      <c r="AC18">
        <v>6</v>
      </c>
      <c r="AD18">
        <v>8</v>
      </c>
      <c r="AE18">
        <v>4</v>
      </c>
      <c r="AF18">
        <v>7</v>
      </c>
      <c r="AG18">
        <v>7</v>
      </c>
      <c r="AH18">
        <v>7</v>
      </c>
      <c r="AI18" t="s">
        <v>80</v>
      </c>
      <c r="AJ18" t="s">
        <v>80</v>
      </c>
      <c r="AK18">
        <v>12</v>
      </c>
      <c r="AL18">
        <v>28</v>
      </c>
      <c r="AM18" t="s">
        <v>84</v>
      </c>
      <c r="AN18" t="s">
        <v>80</v>
      </c>
      <c r="AO18" t="s">
        <v>80</v>
      </c>
      <c r="AP18" t="s">
        <v>80</v>
      </c>
      <c r="AQ18">
        <v>4</v>
      </c>
      <c r="AR18">
        <v>4</v>
      </c>
      <c r="AS18">
        <v>4</v>
      </c>
      <c r="AT18" t="s">
        <v>85</v>
      </c>
      <c r="AU18">
        <v>14</v>
      </c>
      <c r="AV18" t="s">
        <v>80</v>
      </c>
      <c r="AW18" t="s">
        <v>80</v>
      </c>
      <c r="AX18">
        <v>7</v>
      </c>
      <c r="AY18" t="s">
        <v>78</v>
      </c>
      <c r="AZ18" t="s">
        <v>80</v>
      </c>
      <c r="BA18">
        <v>7</v>
      </c>
      <c r="BB18">
        <v>7</v>
      </c>
      <c r="BC18" t="s">
        <v>80</v>
      </c>
      <c r="BD18">
        <v>8</v>
      </c>
      <c r="BE18">
        <v>2</v>
      </c>
      <c r="BF18">
        <v>5</v>
      </c>
      <c r="BG18" t="s">
        <v>152</v>
      </c>
      <c r="BH18" t="s">
        <v>104</v>
      </c>
      <c r="BI18">
        <v>7.5</v>
      </c>
      <c r="BJ18">
        <v>8</v>
      </c>
      <c r="BK18">
        <v>3.2</v>
      </c>
      <c r="BL18">
        <v>8.5</v>
      </c>
    </row>
    <row r="19" spans="1:64" x14ac:dyDescent="0.25">
      <c r="A19" t="s">
        <v>165</v>
      </c>
      <c r="B19">
        <v>25</v>
      </c>
      <c r="C19" t="s">
        <v>154</v>
      </c>
      <c r="D19" t="s">
        <v>89</v>
      </c>
      <c r="E19" t="s">
        <v>90</v>
      </c>
      <c r="F19" t="s">
        <v>91</v>
      </c>
      <c r="G19" t="s">
        <v>92</v>
      </c>
      <c r="H19" t="s">
        <v>124</v>
      </c>
      <c r="I19" t="s">
        <v>166</v>
      </c>
      <c r="J19" t="s">
        <v>167</v>
      </c>
      <c r="K19" t="s">
        <v>73</v>
      </c>
      <c r="L19">
        <v>5</v>
      </c>
      <c r="M19">
        <v>6</v>
      </c>
      <c r="N19" t="s">
        <v>168</v>
      </c>
      <c r="O19" t="s">
        <v>169</v>
      </c>
      <c r="P19" t="s">
        <v>100</v>
      </c>
      <c r="Q19" t="s">
        <v>101</v>
      </c>
      <c r="R19" t="s">
        <v>102</v>
      </c>
      <c r="S19" t="s">
        <v>111</v>
      </c>
      <c r="T19" t="s">
        <v>111</v>
      </c>
      <c r="U19" t="s">
        <v>80</v>
      </c>
      <c r="V19" t="s">
        <v>80</v>
      </c>
      <c r="W19" t="s">
        <v>102</v>
      </c>
      <c r="X19" t="s">
        <v>170</v>
      </c>
      <c r="Y19">
        <v>8.5</v>
      </c>
      <c r="Z19">
        <v>7</v>
      </c>
      <c r="AA19" t="s">
        <v>126</v>
      </c>
      <c r="AB19" t="s">
        <v>103</v>
      </c>
      <c r="AC19">
        <v>8</v>
      </c>
      <c r="AD19">
        <v>6</v>
      </c>
      <c r="AE19">
        <v>3</v>
      </c>
      <c r="AF19">
        <v>5</v>
      </c>
      <c r="AG19">
        <v>5</v>
      </c>
      <c r="AH19">
        <v>4</v>
      </c>
      <c r="AI19" t="s">
        <v>80</v>
      </c>
      <c r="AJ19" t="s">
        <v>111</v>
      </c>
      <c r="AK19">
        <v>18</v>
      </c>
      <c r="AL19">
        <v>45</v>
      </c>
      <c r="AM19" t="s">
        <v>131</v>
      </c>
      <c r="AN19" t="s">
        <v>111</v>
      </c>
      <c r="AO19" t="s">
        <v>111</v>
      </c>
      <c r="AP19" t="s">
        <v>111</v>
      </c>
      <c r="AQ19">
        <v>5</v>
      </c>
      <c r="AR19">
        <v>5</v>
      </c>
      <c r="AS19">
        <v>5</v>
      </c>
      <c r="AT19" t="s">
        <v>131</v>
      </c>
      <c r="AU19">
        <v>25</v>
      </c>
      <c r="AV19" t="s">
        <v>80</v>
      </c>
      <c r="AW19" t="s">
        <v>111</v>
      </c>
      <c r="AX19">
        <v>5</v>
      </c>
      <c r="AY19" t="s">
        <v>102</v>
      </c>
      <c r="AZ19" t="s">
        <v>111</v>
      </c>
      <c r="BA19">
        <v>6</v>
      </c>
      <c r="BB19">
        <v>5</v>
      </c>
      <c r="BC19" t="s">
        <v>111</v>
      </c>
      <c r="BD19">
        <v>5</v>
      </c>
      <c r="BE19">
        <v>4</v>
      </c>
      <c r="BF19">
        <v>14</v>
      </c>
      <c r="BG19" t="s">
        <v>86</v>
      </c>
      <c r="BH19" t="s">
        <v>171</v>
      </c>
      <c r="BI19">
        <v>5.5</v>
      </c>
      <c r="BJ19">
        <v>6</v>
      </c>
      <c r="BK19">
        <v>4.8</v>
      </c>
      <c r="BL19">
        <v>6.5</v>
      </c>
    </row>
    <row r="20" spans="1:64" x14ac:dyDescent="0.25">
      <c r="A20" t="s">
        <v>172</v>
      </c>
      <c r="B20">
        <v>16</v>
      </c>
      <c r="C20" t="s">
        <v>65</v>
      </c>
      <c r="D20" t="s">
        <v>66</v>
      </c>
      <c r="E20" t="s">
        <v>114</v>
      </c>
      <c r="F20" t="s">
        <v>173</v>
      </c>
      <c r="G20" t="s">
        <v>174</v>
      </c>
      <c r="H20" t="s">
        <v>70</v>
      </c>
      <c r="I20" t="s">
        <v>71</v>
      </c>
      <c r="J20" t="s">
        <v>72</v>
      </c>
      <c r="K20" t="s">
        <v>73</v>
      </c>
      <c r="L20">
        <v>7</v>
      </c>
      <c r="M20">
        <v>3</v>
      </c>
      <c r="N20" t="s">
        <v>93</v>
      </c>
      <c r="O20" t="s">
        <v>74</v>
      </c>
      <c r="P20" t="s">
        <v>76</v>
      </c>
      <c r="Q20" t="s">
        <v>77</v>
      </c>
      <c r="R20" t="s">
        <v>78</v>
      </c>
      <c r="S20" t="s">
        <v>79</v>
      </c>
      <c r="T20" t="s">
        <v>102</v>
      </c>
      <c r="U20" t="s">
        <v>80</v>
      </c>
      <c r="V20" t="s">
        <v>80</v>
      </c>
      <c r="W20" t="s">
        <v>78</v>
      </c>
      <c r="X20" t="s">
        <v>81</v>
      </c>
      <c r="Y20">
        <v>11</v>
      </c>
      <c r="Z20">
        <v>5.5</v>
      </c>
      <c r="AA20" t="s">
        <v>82</v>
      </c>
      <c r="AB20" t="s">
        <v>83</v>
      </c>
      <c r="AC20">
        <v>6.5</v>
      </c>
      <c r="AD20">
        <v>9</v>
      </c>
      <c r="AE20">
        <v>5</v>
      </c>
      <c r="AF20">
        <v>8</v>
      </c>
      <c r="AG20">
        <v>8</v>
      </c>
      <c r="AH20">
        <v>8</v>
      </c>
      <c r="AI20" t="s">
        <v>80</v>
      </c>
      <c r="AJ20" t="s">
        <v>80</v>
      </c>
      <c r="AK20">
        <v>8</v>
      </c>
      <c r="AL20">
        <v>18</v>
      </c>
      <c r="AM20" t="s">
        <v>84</v>
      </c>
      <c r="AN20" t="s">
        <v>80</v>
      </c>
      <c r="AO20" t="s">
        <v>80</v>
      </c>
      <c r="AP20" t="s">
        <v>80</v>
      </c>
      <c r="AQ20">
        <v>3</v>
      </c>
      <c r="AR20">
        <v>3</v>
      </c>
      <c r="AS20">
        <v>3</v>
      </c>
      <c r="AT20" t="s">
        <v>85</v>
      </c>
      <c r="AU20">
        <v>10</v>
      </c>
      <c r="AV20" t="s">
        <v>80</v>
      </c>
      <c r="AW20" t="s">
        <v>80</v>
      </c>
      <c r="AX20">
        <v>8</v>
      </c>
      <c r="AY20" t="s">
        <v>78</v>
      </c>
      <c r="AZ20" t="s">
        <v>80</v>
      </c>
      <c r="BA20">
        <v>9</v>
      </c>
      <c r="BB20">
        <v>8</v>
      </c>
      <c r="BC20" t="s">
        <v>80</v>
      </c>
      <c r="BD20">
        <v>9</v>
      </c>
      <c r="BE20">
        <v>2</v>
      </c>
      <c r="BF20">
        <v>4</v>
      </c>
      <c r="BG20" t="s">
        <v>86</v>
      </c>
      <c r="BH20" t="s">
        <v>87</v>
      </c>
      <c r="BI20">
        <v>9</v>
      </c>
      <c r="BJ20">
        <v>9.3000000000000007</v>
      </c>
      <c r="BK20">
        <v>2.1</v>
      </c>
      <c r="BL20">
        <v>9.6</v>
      </c>
    </row>
    <row r="21" spans="1:64" x14ac:dyDescent="0.25">
      <c r="A21" t="s">
        <v>175</v>
      </c>
      <c r="B21">
        <v>21</v>
      </c>
      <c r="C21" t="s">
        <v>106</v>
      </c>
      <c r="D21" t="s">
        <v>89</v>
      </c>
      <c r="E21" t="s">
        <v>67</v>
      </c>
      <c r="F21" t="s">
        <v>68</v>
      </c>
      <c r="G21" t="s">
        <v>69</v>
      </c>
      <c r="H21" t="s">
        <v>124</v>
      </c>
      <c r="I21" t="s">
        <v>71</v>
      </c>
      <c r="J21" t="s">
        <v>72</v>
      </c>
      <c r="K21" t="s">
        <v>73</v>
      </c>
      <c r="L21">
        <v>6.5</v>
      </c>
      <c r="M21">
        <v>4</v>
      </c>
      <c r="N21" t="s">
        <v>75</v>
      </c>
      <c r="O21" t="s">
        <v>74</v>
      </c>
      <c r="P21" t="s">
        <v>100</v>
      </c>
      <c r="Q21" t="s">
        <v>101</v>
      </c>
      <c r="R21" t="s">
        <v>78</v>
      </c>
      <c r="S21" t="s">
        <v>102</v>
      </c>
      <c r="T21" t="s">
        <v>111</v>
      </c>
      <c r="U21" t="s">
        <v>80</v>
      </c>
      <c r="V21" t="s">
        <v>80</v>
      </c>
      <c r="W21" t="s">
        <v>78</v>
      </c>
      <c r="X21" t="s">
        <v>112</v>
      </c>
      <c r="Y21">
        <v>10</v>
      </c>
      <c r="Z21">
        <v>6</v>
      </c>
      <c r="AA21" t="s">
        <v>82</v>
      </c>
      <c r="AB21" t="s">
        <v>83</v>
      </c>
      <c r="AC21">
        <v>6</v>
      </c>
      <c r="AD21">
        <v>8</v>
      </c>
      <c r="AE21">
        <v>4</v>
      </c>
      <c r="AF21">
        <v>7</v>
      </c>
      <c r="AG21">
        <v>6</v>
      </c>
      <c r="AH21">
        <v>6</v>
      </c>
      <c r="AI21" t="s">
        <v>80</v>
      </c>
      <c r="AJ21" t="s">
        <v>80</v>
      </c>
      <c r="AK21">
        <v>11</v>
      </c>
      <c r="AL21">
        <v>24</v>
      </c>
      <c r="AM21" t="s">
        <v>84</v>
      </c>
      <c r="AN21" t="s">
        <v>80</v>
      </c>
      <c r="AO21" t="s">
        <v>80</v>
      </c>
      <c r="AP21" t="s">
        <v>80</v>
      </c>
      <c r="AQ21">
        <v>4</v>
      </c>
      <c r="AR21">
        <v>3</v>
      </c>
      <c r="AS21">
        <v>4</v>
      </c>
      <c r="AT21" t="s">
        <v>85</v>
      </c>
      <c r="AU21">
        <v>13</v>
      </c>
      <c r="AV21" t="s">
        <v>80</v>
      </c>
      <c r="AW21" t="s">
        <v>80</v>
      </c>
      <c r="AX21">
        <v>7</v>
      </c>
      <c r="AY21" t="s">
        <v>78</v>
      </c>
      <c r="AZ21" t="s">
        <v>80</v>
      </c>
      <c r="BA21">
        <v>8</v>
      </c>
      <c r="BB21">
        <v>7</v>
      </c>
      <c r="BC21" t="s">
        <v>80</v>
      </c>
      <c r="BD21">
        <v>8</v>
      </c>
      <c r="BE21">
        <v>2</v>
      </c>
      <c r="BF21">
        <v>5</v>
      </c>
      <c r="BG21" t="s">
        <v>86</v>
      </c>
      <c r="BH21" t="s">
        <v>104</v>
      </c>
      <c r="BI21">
        <v>8</v>
      </c>
      <c r="BJ21">
        <v>8.3000000000000007</v>
      </c>
      <c r="BK21">
        <v>2.8</v>
      </c>
      <c r="BL21">
        <v>8.8000000000000007</v>
      </c>
    </row>
    <row r="22" spans="1:64" x14ac:dyDescent="0.25">
      <c r="A22" t="s">
        <v>176</v>
      </c>
      <c r="B22">
        <v>17</v>
      </c>
      <c r="C22" t="s">
        <v>65</v>
      </c>
      <c r="D22" t="s">
        <v>66</v>
      </c>
      <c r="E22" t="s">
        <v>107</v>
      </c>
      <c r="F22" t="s">
        <v>108</v>
      </c>
      <c r="G22" t="s">
        <v>109</v>
      </c>
      <c r="H22" t="s">
        <v>70</v>
      </c>
      <c r="I22" t="s">
        <v>71</v>
      </c>
      <c r="J22" t="s">
        <v>72</v>
      </c>
      <c r="K22" t="s">
        <v>73</v>
      </c>
      <c r="L22">
        <v>7</v>
      </c>
      <c r="M22">
        <v>4</v>
      </c>
      <c r="N22" t="s">
        <v>74</v>
      </c>
      <c r="O22" t="s">
        <v>93</v>
      </c>
      <c r="P22" t="s">
        <v>76</v>
      </c>
      <c r="Q22" t="s">
        <v>77</v>
      </c>
      <c r="R22" t="s">
        <v>78</v>
      </c>
      <c r="S22" t="s">
        <v>79</v>
      </c>
      <c r="T22" t="s">
        <v>79</v>
      </c>
      <c r="U22" t="s">
        <v>80</v>
      </c>
      <c r="V22" t="s">
        <v>80</v>
      </c>
      <c r="W22" t="s">
        <v>78</v>
      </c>
      <c r="X22" t="s">
        <v>81</v>
      </c>
      <c r="Y22">
        <v>11.5</v>
      </c>
      <c r="Z22">
        <v>5.5</v>
      </c>
      <c r="AA22" t="s">
        <v>82</v>
      </c>
      <c r="AB22" t="s">
        <v>83</v>
      </c>
      <c r="AC22">
        <v>6</v>
      </c>
      <c r="AD22">
        <v>9</v>
      </c>
      <c r="AE22">
        <v>5</v>
      </c>
      <c r="AF22">
        <v>8</v>
      </c>
      <c r="AG22">
        <v>8</v>
      </c>
      <c r="AH22">
        <v>9</v>
      </c>
      <c r="AI22" t="s">
        <v>80</v>
      </c>
      <c r="AJ22" t="s">
        <v>80</v>
      </c>
      <c r="AK22">
        <v>8</v>
      </c>
      <c r="AL22">
        <v>18</v>
      </c>
      <c r="AM22" t="s">
        <v>84</v>
      </c>
      <c r="AN22" t="s">
        <v>80</v>
      </c>
      <c r="AO22" t="s">
        <v>80</v>
      </c>
      <c r="AP22" t="s">
        <v>80</v>
      </c>
      <c r="AQ22">
        <v>3</v>
      </c>
      <c r="AR22">
        <v>3</v>
      </c>
      <c r="AS22">
        <v>3</v>
      </c>
      <c r="AT22" t="s">
        <v>85</v>
      </c>
      <c r="AU22">
        <v>10</v>
      </c>
      <c r="AV22" t="s">
        <v>80</v>
      </c>
      <c r="AW22" t="s">
        <v>80</v>
      </c>
      <c r="AX22">
        <v>8</v>
      </c>
      <c r="AY22" t="s">
        <v>78</v>
      </c>
      <c r="AZ22" t="s">
        <v>80</v>
      </c>
      <c r="BA22">
        <v>9</v>
      </c>
      <c r="BB22">
        <v>9</v>
      </c>
      <c r="BC22" t="s">
        <v>80</v>
      </c>
      <c r="BD22">
        <v>9</v>
      </c>
      <c r="BE22">
        <v>2</v>
      </c>
      <c r="BF22">
        <v>3</v>
      </c>
      <c r="BG22" t="s">
        <v>136</v>
      </c>
      <c r="BH22" t="s">
        <v>87</v>
      </c>
      <c r="BI22">
        <v>9.1999999999999993</v>
      </c>
      <c r="BJ22">
        <v>9.5</v>
      </c>
      <c r="BK22">
        <v>2</v>
      </c>
      <c r="BL22">
        <v>9.6999999999999993</v>
      </c>
    </row>
    <row r="23" spans="1:64" x14ac:dyDescent="0.25">
      <c r="A23" t="s">
        <v>177</v>
      </c>
      <c r="B23">
        <v>23</v>
      </c>
      <c r="C23" t="s">
        <v>154</v>
      </c>
      <c r="D23" t="s">
        <v>89</v>
      </c>
      <c r="E23" t="s">
        <v>90</v>
      </c>
      <c r="F23" t="s">
        <v>128</v>
      </c>
      <c r="G23" t="s">
        <v>129</v>
      </c>
      <c r="H23" t="s">
        <v>124</v>
      </c>
      <c r="I23" t="s">
        <v>178</v>
      </c>
      <c r="J23" t="s">
        <v>179</v>
      </c>
      <c r="K23" t="s">
        <v>143</v>
      </c>
      <c r="L23">
        <v>4.5</v>
      </c>
      <c r="M23">
        <v>5</v>
      </c>
      <c r="N23" t="s">
        <v>130</v>
      </c>
      <c r="O23" t="s">
        <v>75</v>
      </c>
      <c r="P23" t="s">
        <v>100</v>
      </c>
      <c r="Q23" t="s">
        <v>101</v>
      </c>
      <c r="R23" t="s">
        <v>111</v>
      </c>
      <c r="S23" t="s">
        <v>111</v>
      </c>
      <c r="T23" t="s">
        <v>111</v>
      </c>
      <c r="U23" t="s">
        <v>80</v>
      </c>
      <c r="V23" t="s">
        <v>80</v>
      </c>
      <c r="W23" t="s">
        <v>102</v>
      </c>
      <c r="X23" t="s">
        <v>170</v>
      </c>
      <c r="Y23">
        <v>8</v>
      </c>
      <c r="Z23">
        <v>7</v>
      </c>
      <c r="AA23" t="s">
        <v>126</v>
      </c>
      <c r="AB23" t="s">
        <v>103</v>
      </c>
      <c r="AC23">
        <v>7.5</v>
      </c>
      <c r="AD23">
        <v>6</v>
      </c>
      <c r="AE23">
        <v>3</v>
      </c>
      <c r="AF23">
        <v>5</v>
      </c>
      <c r="AG23">
        <v>5</v>
      </c>
      <c r="AH23">
        <v>4</v>
      </c>
      <c r="AI23" t="s">
        <v>80</v>
      </c>
      <c r="AJ23" t="s">
        <v>111</v>
      </c>
      <c r="AK23">
        <v>18</v>
      </c>
      <c r="AL23">
        <v>45</v>
      </c>
      <c r="AM23" t="s">
        <v>131</v>
      </c>
      <c r="AN23" t="s">
        <v>111</v>
      </c>
      <c r="AO23" t="s">
        <v>111</v>
      </c>
      <c r="AP23" t="s">
        <v>111</v>
      </c>
      <c r="AQ23">
        <v>5</v>
      </c>
      <c r="AR23">
        <v>5</v>
      </c>
      <c r="AS23">
        <v>5</v>
      </c>
      <c r="AT23" t="s">
        <v>131</v>
      </c>
      <c r="AU23">
        <v>28</v>
      </c>
      <c r="AV23" t="s">
        <v>80</v>
      </c>
      <c r="AW23" t="s">
        <v>111</v>
      </c>
      <c r="AX23">
        <v>5</v>
      </c>
      <c r="AY23" t="s">
        <v>102</v>
      </c>
      <c r="AZ23" t="s">
        <v>111</v>
      </c>
      <c r="BA23">
        <v>6</v>
      </c>
      <c r="BB23">
        <v>5</v>
      </c>
      <c r="BC23" t="s">
        <v>111</v>
      </c>
      <c r="BD23">
        <v>5</v>
      </c>
      <c r="BE23">
        <v>4</v>
      </c>
      <c r="BF23">
        <v>15</v>
      </c>
      <c r="BG23" t="s">
        <v>86</v>
      </c>
      <c r="BH23" t="s">
        <v>171</v>
      </c>
      <c r="BI23">
        <v>5.2</v>
      </c>
      <c r="BJ23">
        <v>5.8</v>
      </c>
      <c r="BK23">
        <v>5</v>
      </c>
      <c r="BL23">
        <v>6.2</v>
      </c>
    </row>
    <row r="24" spans="1:64" x14ac:dyDescent="0.25">
      <c r="A24" t="s">
        <v>180</v>
      </c>
      <c r="B24">
        <v>19</v>
      </c>
      <c r="C24" t="s">
        <v>106</v>
      </c>
      <c r="D24" t="s">
        <v>66</v>
      </c>
      <c r="E24" t="s">
        <v>97</v>
      </c>
      <c r="F24" t="s">
        <v>181</v>
      </c>
      <c r="G24" t="s">
        <v>182</v>
      </c>
      <c r="H24" t="s">
        <v>70</v>
      </c>
      <c r="I24" t="s">
        <v>71</v>
      </c>
      <c r="J24" t="s">
        <v>72</v>
      </c>
      <c r="K24" t="s">
        <v>73</v>
      </c>
      <c r="L24">
        <v>6.5</v>
      </c>
      <c r="M24">
        <v>3</v>
      </c>
      <c r="N24" t="s">
        <v>93</v>
      </c>
      <c r="O24" t="s">
        <v>74</v>
      </c>
      <c r="P24" t="s">
        <v>76</v>
      </c>
      <c r="Q24" t="s">
        <v>77</v>
      </c>
      <c r="R24" t="s">
        <v>78</v>
      </c>
      <c r="S24" t="s">
        <v>102</v>
      </c>
      <c r="T24" t="s">
        <v>102</v>
      </c>
      <c r="U24" t="s">
        <v>80</v>
      </c>
      <c r="V24" t="s">
        <v>80</v>
      </c>
      <c r="W24" t="s">
        <v>78</v>
      </c>
      <c r="X24" t="s">
        <v>81</v>
      </c>
      <c r="Y24">
        <v>10.5</v>
      </c>
      <c r="Z24">
        <v>6</v>
      </c>
      <c r="AA24" t="s">
        <v>82</v>
      </c>
      <c r="AB24" t="s">
        <v>103</v>
      </c>
      <c r="AC24">
        <v>6</v>
      </c>
      <c r="AD24">
        <v>8</v>
      </c>
      <c r="AE24">
        <v>4</v>
      </c>
      <c r="AF24">
        <v>7</v>
      </c>
      <c r="AG24">
        <v>7</v>
      </c>
      <c r="AH24">
        <v>7</v>
      </c>
      <c r="AI24" t="s">
        <v>80</v>
      </c>
      <c r="AJ24" t="s">
        <v>80</v>
      </c>
      <c r="AK24">
        <v>10</v>
      </c>
      <c r="AL24">
        <v>22</v>
      </c>
      <c r="AM24" t="s">
        <v>84</v>
      </c>
      <c r="AN24" t="s">
        <v>80</v>
      </c>
      <c r="AO24" t="s">
        <v>80</v>
      </c>
      <c r="AP24" t="s">
        <v>80</v>
      </c>
      <c r="AQ24">
        <v>4</v>
      </c>
      <c r="AR24">
        <v>3</v>
      </c>
      <c r="AS24">
        <v>4</v>
      </c>
      <c r="AT24" t="s">
        <v>85</v>
      </c>
      <c r="AU24">
        <v>12</v>
      </c>
      <c r="AV24" t="s">
        <v>80</v>
      </c>
      <c r="AW24" t="s">
        <v>80</v>
      </c>
      <c r="AX24">
        <v>7</v>
      </c>
      <c r="AY24" t="s">
        <v>78</v>
      </c>
      <c r="AZ24" t="s">
        <v>80</v>
      </c>
      <c r="BA24">
        <v>8</v>
      </c>
      <c r="BB24">
        <v>8</v>
      </c>
      <c r="BC24" t="s">
        <v>80</v>
      </c>
      <c r="BD24">
        <v>8</v>
      </c>
      <c r="BE24">
        <v>2</v>
      </c>
      <c r="BF24">
        <v>4</v>
      </c>
      <c r="BG24" t="s">
        <v>86</v>
      </c>
      <c r="BH24" t="s">
        <v>104</v>
      </c>
      <c r="BI24">
        <v>7.8</v>
      </c>
      <c r="BJ24">
        <v>8.1999999999999993</v>
      </c>
      <c r="BK24">
        <v>2.9</v>
      </c>
      <c r="BL24">
        <v>8.6999999999999993</v>
      </c>
    </row>
    <row r="25" spans="1:64" x14ac:dyDescent="0.25">
      <c r="A25" t="s">
        <v>183</v>
      </c>
      <c r="B25">
        <v>20</v>
      </c>
      <c r="C25" t="s">
        <v>106</v>
      </c>
      <c r="D25" t="s">
        <v>89</v>
      </c>
      <c r="E25" t="s">
        <v>114</v>
      </c>
      <c r="F25" t="s">
        <v>184</v>
      </c>
      <c r="G25" t="s">
        <v>185</v>
      </c>
      <c r="H25" t="s">
        <v>124</v>
      </c>
      <c r="I25" t="s">
        <v>71</v>
      </c>
      <c r="J25" t="s">
        <v>72</v>
      </c>
      <c r="K25" t="s">
        <v>73</v>
      </c>
      <c r="L25">
        <v>5.5</v>
      </c>
      <c r="M25">
        <v>4</v>
      </c>
      <c r="N25" t="s">
        <v>74</v>
      </c>
      <c r="O25" t="s">
        <v>93</v>
      </c>
      <c r="P25" t="s">
        <v>100</v>
      </c>
      <c r="Q25" t="s">
        <v>101</v>
      </c>
      <c r="R25" t="s">
        <v>78</v>
      </c>
      <c r="S25" t="s">
        <v>102</v>
      </c>
      <c r="T25" t="s">
        <v>111</v>
      </c>
      <c r="U25" t="s">
        <v>80</v>
      </c>
      <c r="V25" t="s">
        <v>80</v>
      </c>
      <c r="W25" t="s">
        <v>78</v>
      </c>
      <c r="X25" t="s">
        <v>147</v>
      </c>
      <c r="Y25">
        <v>9</v>
      </c>
      <c r="Z25">
        <v>6.5</v>
      </c>
      <c r="AA25" t="s">
        <v>126</v>
      </c>
      <c r="AB25" t="s">
        <v>103</v>
      </c>
      <c r="AC25">
        <v>6.5</v>
      </c>
      <c r="AD25">
        <v>7</v>
      </c>
      <c r="AE25">
        <v>4</v>
      </c>
      <c r="AF25">
        <v>6</v>
      </c>
      <c r="AG25">
        <v>6</v>
      </c>
      <c r="AH25">
        <v>6</v>
      </c>
      <c r="AI25" t="s">
        <v>80</v>
      </c>
      <c r="AJ25" t="s">
        <v>80</v>
      </c>
      <c r="AK25">
        <v>13</v>
      </c>
      <c r="AL25">
        <v>30</v>
      </c>
      <c r="AM25" t="s">
        <v>84</v>
      </c>
      <c r="AN25" t="s">
        <v>80</v>
      </c>
      <c r="AO25" t="s">
        <v>80</v>
      </c>
      <c r="AP25" t="s">
        <v>80</v>
      </c>
      <c r="AQ25">
        <v>5</v>
      </c>
      <c r="AR25">
        <v>4</v>
      </c>
      <c r="AS25">
        <v>5</v>
      </c>
      <c r="AT25" t="s">
        <v>131</v>
      </c>
      <c r="AU25">
        <v>16</v>
      </c>
      <c r="AV25" t="s">
        <v>80</v>
      </c>
      <c r="AW25" t="s">
        <v>80</v>
      </c>
      <c r="AX25">
        <v>6</v>
      </c>
      <c r="AY25" t="s">
        <v>78</v>
      </c>
      <c r="AZ25" t="s">
        <v>80</v>
      </c>
      <c r="BA25">
        <v>7</v>
      </c>
      <c r="BB25">
        <v>7</v>
      </c>
      <c r="BC25" t="s">
        <v>80</v>
      </c>
      <c r="BD25">
        <v>7</v>
      </c>
      <c r="BE25">
        <v>3</v>
      </c>
      <c r="BF25">
        <v>8</v>
      </c>
      <c r="BG25" t="s">
        <v>117</v>
      </c>
      <c r="BH25" t="s">
        <v>131</v>
      </c>
      <c r="BI25">
        <v>6.8</v>
      </c>
      <c r="BJ25">
        <v>7.3</v>
      </c>
      <c r="BK25">
        <v>3.7</v>
      </c>
      <c r="BL25">
        <v>7.8</v>
      </c>
    </row>
    <row r="26" spans="1:64" x14ac:dyDescent="0.25">
      <c r="A26" t="s">
        <v>186</v>
      </c>
      <c r="B26">
        <v>22</v>
      </c>
      <c r="C26" t="s">
        <v>106</v>
      </c>
      <c r="D26" t="s">
        <v>66</v>
      </c>
      <c r="E26" t="s">
        <v>67</v>
      </c>
      <c r="F26" t="s">
        <v>187</v>
      </c>
      <c r="G26" t="s">
        <v>188</v>
      </c>
      <c r="H26" t="s">
        <v>124</v>
      </c>
      <c r="I26" t="s">
        <v>71</v>
      </c>
      <c r="J26" t="s">
        <v>72</v>
      </c>
      <c r="K26" t="s">
        <v>73</v>
      </c>
      <c r="L26">
        <v>6</v>
      </c>
      <c r="M26">
        <v>4</v>
      </c>
      <c r="N26" t="s">
        <v>74</v>
      </c>
      <c r="O26" t="s">
        <v>135</v>
      </c>
      <c r="P26" t="s">
        <v>100</v>
      </c>
      <c r="Q26" t="s">
        <v>101</v>
      </c>
      <c r="R26" t="s">
        <v>78</v>
      </c>
      <c r="S26" t="s">
        <v>102</v>
      </c>
      <c r="T26" t="s">
        <v>102</v>
      </c>
      <c r="U26" t="s">
        <v>80</v>
      </c>
      <c r="V26" t="s">
        <v>80</v>
      </c>
      <c r="W26" t="s">
        <v>78</v>
      </c>
      <c r="X26" t="s">
        <v>125</v>
      </c>
      <c r="Y26">
        <v>10</v>
      </c>
      <c r="Z26">
        <v>6.5</v>
      </c>
      <c r="AA26" t="s">
        <v>126</v>
      </c>
      <c r="AB26" t="s">
        <v>83</v>
      </c>
      <c r="AC26">
        <v>6</v>
      </c>
      <c r="AD26">
        <v>8</v>
      </c>
      <c r="AE26">
        <v>4</v>
      </c>
      <c r="AF26">
        <v>7</v>
      </c>
      <c r="AG26">
        <v>8</v>
      </c>
      <c r="AH26">
        <v>8</v>
      </c>
      <c r="AI26" t="s">
        <v>80</v>
      </c>
      <c r="AJ26" t="s">
        <v>80</v>
      </c>
      <c r="AK26">
        <v>12</v>
      </c>
      <c r="AL26">
        <v>26</v>
      </c>
      <c r="AM26" t="s">
        <v>84</v>
      </c>
      <c r="AN26" t="s">
        <v>80</v>
      </c>
      <c r="AO26" t="s">
        <v>80</v>
      </c>
      <c r="AP26" t="s">
        <v>80</v>
      </c>
      <c r="AQ26">
        <v>4</v>
      </c>
      <c r="AR26">
        <v>4</v>
      </c>
      <c r="AS26">
        <v>4</v>
      </c>
      <c r="AT26" t="s">
        <v>85</v>
      </c>
      <c r="AU26">
        <v>13</v>
      </c>
      <c r="AV26" t="s">
        <v>80</v>
      </c>
      <c r="AW26" t="s">
        <v>80</v>
      </c>
      <c r="AX26">
        <v>7</v>
      </c>
      <c r="AY26" t="s">
        <v>78</v>
      </c>
      <c r="AZ26" t="s">
        <v>80</v>
      </c>
      <c r="BA26">
        <v>8</v>
      </c>
      <c r="BB26">
        <v>8</v>
      </c>
      <c r="BC26" t="s">
        <v>80</v>
      </c>
      <c r="BD26">
        <v>8</v>
      </c>
      <c r="BE26">
        <v>2</v>
      </c>
      <c r="BF26">
        <v>5</v>
      </c>
      <c r="BG26" t="s">
        <v>152</v>
      </c>
      <c r="BH26" t="s">
        <v>104</v>
      </c>
      <c r="BI26">
        <v>7.6</v>
      </c>
      <c r="BJ26">
        <v>8</v>
      </c>
      <c r="BK26">
        <v>3.1</v>
      </c>
      <c r="BL26">
        <v>8.5</v>
      </c>
    </row>
    <row r="27" spans="1:64" x14ac:dyDescent="0.25">
      <c r="A27" t="s">
        <v>189</v>
      </c>
      <c r="B27">
        <v>18</v>
      </c>
      <c r="C27" t="s">
        <v>106</v>
      </c>
      <c r="D27" t="s">
        <v>89</v>
      </c>
      <c r="E27" t="s">
        <v>107</v>
      </c>
      <c r="F27" t="s">
        <v>190</v>
      </c>
      <c r="G27" t="s">
        <v>191</v>
      </c>
      <c r="H27" t="s">
        <v>70</v>
      </c>
      <c r="I27" t="s">
        <v>71</v>
      </c>
      <c r="J27" t="s">
        <v>72</v>
      </c>
      <c r="K27" t="s">
        <v>73</v>
      </c>
      <c r="L27">
        <v>4.5</v>
      </c>
      <c r="M27">
        <v>4</v>
      </c>
      <c r="N27" t="s">
        <v>75</v>
      </c>
      <c r="O27" t="s">
        <v>93</v>
      </c>
      <c r="P27" t="s">
        <v>100</v>
      </c>
      <c r="Q27" t="s">
        <v>101</v>
      </c>
      <c r="R27" t="s">
        <v>111</v>
      </c>
      <c r="S27" t="s">
        <v>111</v>
      </c>
      <c r="T27" t="s">
        <v>111</v>
      </c>
      <c r="U27" t="s">
        <v>80</v>
      </c>
      <c r="V27" t="s">
        <v>80</v>
      </c>
      <c r="W27" t="s">
        <v>102</v>
      </c>
      <c r="X27" t="s">
        <v>112</v>
      </c>
      <c r="Y27">
        <v>8.5</v>
      </c>
      <c r="Z27">
        <v>7</v>
      </c>
      <c r="AA27" t="s">
        <v>126</v>
      </c>
      <c r="AB27" t="s">
        <v>103</v>
      </c>
      <c r="AC27">
        <v>6.5</v>
      </c>
      <c r="AD27">
        <v>6</v>
      </c>
      <c r="AE27">
        <v>3</v>
      </c>
      <c r="AF27">
        <v>5</v>
      </c>
      <c r="AG27">
        <v>4</v>
      </c>
      <c r="AH27">
        <v>5</v>
      </c>
      <c r="AI27" t="s">
        <v>80</v>
      </c>
      <c r="AJ27" t="s">
        <v>111</v>
      </c>
      <c r="AK27">
        <v>18</v>
      </c>
      <c r="AL27">
        <v>40</v>
      </c>
      <c r="AM27" t="s">
        <v>131</v>
      </c>
      <c r="AN27" t="s">
        <v>111</v>
      </c>
      <c r="AO27" t="s">
        <v>111</v>
      </c>
      <c r="AP27" t="s">
        <v>111</v>
      </c>
      <c r="AQ27">
        <v>5</v>
      </c>
      <c r="AR27">
        <v>4</v>
      </c>
      <c r="AS27">
        <v>5</v>
      </c>
      <c r="AT27" t="s">
        <v>131</v>
      </c>
      <c r="AU27">
        <v>20</v>
      </c>
      <c r="AV27" t="s">
        <v>80</v>
      </c>
      <c r="AW27" t="s">
        <v>111</v>
      </c>
      <c r="AX27">
        <v>5</v>
      </c>
      <c r="AY27" t="s">
        <v>102</v>
      </c>
      <c r="AZ27" t="s">
        <v>111</v>
      </c>
      <c r="BA27">
        <v>6</v>
      </c>
      <c r="BB27">
        <v>5</v>
      </c>
      <c r="BC27" t="s">
        <v>111</v>
      </c>
      <c r="BD27">
        <v>5</v>
      </c>
      <c r="BE27">
        <v>3</v>
      </c>
      <c r="BF27">
        <v>12</v>
      </c>
      <c r="BG27" t="s">
        <v>86</v>
      </c>
      <c r="BH27" t="s">
        <v>171</v>
      </c>
      <c r="BI27">
        <v>5.5</v>
      </c>
      <c r="BJ27">
        <v>6</v>
      </c>
      <c r="BK27">
        <v>4.8</v>
      </c>
      <c r="BL27">
        <v>6.5</v>
      </c>
    </row>
    <row r="28" spans="1:64" x14ac:dyDescent="0.25">
      <c r="A28" t="s">
        <v>192</v>
      </c>
      <c r="B28">
        <v>24</v>
      </c>
      <c r="C28" t="s">
        <v>154</v>
      </c>
      <c r="D28" t="s">
        <v>66</v>
      </c>
      <c r="E28" t="s">
        <v>90</v>
      </c>
      <c r="F28" t="s">
        <v>157</v>
      </c>
      <c r="G28" t="s">
        <v>158</v>
      </c>
      <c r="H28" t="s">
        <v>124</v>
      </c>
      <c r="I28" t="s">
        <v>178</v>
      </c>
      <c r="J28" t="s">
        <v>193</v>
      </c>
      <c r="K28" t="s">
        <v>143</v>
      </c>
      <c r="L28">
        <v>5.5</v>
      </c>
      <c r="M28">
        <v>6</v>
      </c>
      <c r="N28" t="s">
        <v>74</v>
      </c>
      <c r="O28" t="s">
        <v>75</v>
      </c>
      <c r="P28" t="s">
        <v>100</v>
      </c>
      <c r="Q28" t="s">
        <v>101</v>
      </c>
      <c r="R28" t="s">
        <v>78</v>
      </c>
      <c r="S28" t="s">
        <v>102</v>
      </c>
      <c r="T28" t="s">
        <v>102</v>
      </c>
      <c r="U28" t="s">
        <v>80</v>
      </c>
      <c r="V28" t="s">
        <v>80</v>
      </c>
      <c r="W28" t="s">
        <v>78</v>
      </c>
      <c r="X28" t="s">
        <v>125</v>
      </c>
      <c r="Y28">
        <v>9.5</v>
      </c>
      <c r="Z28">
        <v>6.5</v>
      </c>
      <c r="AA28" t="s">
        <v>126</v>
      </c>
      <c r="AB28" t="s">
        <v>103</v>
      </c>
      <c r="AC28">
        <v>6</v>
      </c>
      <c r="AD28">
        <v>7</v>
      </c>
      <c r="AE28">
        <v>4</v>
      </c>
      <c r="AF28">
        <v>7</v>
      </c>
      <c r="AG28">
        <v>8</v>
      </c>
      <c r="AH28">
        <v>7</v>
      </c>
      <c r="AI28" t="s">
        <v>80</v>
      </c>
      <c r="AJ28" t="s">
        <v>80</v>
      </c>
      <c r="AK28">
        <v>13</v>
      </c>
      <c r="AL28">
        <v>30</v>
      </c>
      <c r="AM28" t="s">
        <v>84</v>
      </c>
      <c r="AN28" t="s">
        <v>80</v>
      </c>
      <c r="AO28" t="s">
        <v>80</v>
      </c>
      <c r="AP28" t="s">
        <v>111</v>
      </c>
      <c r="AQ28">
        <v>4</v>
      </c>
      <c r="AR28">
        <v>4</v>
      </c>
      <c r="AS28">
        <v>4</v>
      </c>
      <c r="AT28" t="s">
        <v>85</v>
      </c>
      <c r="AU28">
        <v>15</v>
      </c>
      <c r="AV28" t="s">
        <v>80</v>
      </c>
      <c r="AW28" t="s">
        <v>80</v>
      </c>
      <c r="AX28">
        <v>7</v>
      </c>
      <c r="AY28" t="s">
        <v>78</v>
      </c>
      <c r="AZ28" t="s">
        <v>80</v>
      </c>
      <c r="BA28">
        <v>7</v>
      </c>
      <c r="BB28">
        <v>8</v>
      </c>
      <c r="BC28" t="s">
        <v>80</v>
      </c>
      <c r="BD28">
        <v>7</v>
      </c>
      <c r="BE28">
        <v>3</v>
      </c>
      <c r="BF28">
        <v>8</v>
      </c>
      <c r="BG28" t="s">
        <v>152</v>
      </c>
      <c r="BH28" t="s">
        <v>104</v>
      </c>
      <c r="BI28">
        <v>7.2</v>
      </c>
      <c r="BJ28">
        <v>7.8</v>
      </c>
      <c r="BK28">
        <v>3.4</v>
      </c>
      <c r="BL28">
        <v>8.1999999999999993</v>
      </c>
    </row>
    <row r="29" spans="1:64" x14ac:dyDescent="0.25">
      <c r="A29" t="s">
        <v>194</v>
      </c>
      <c r="B29">
        <v>21</v>
      </c>
      <c r="C29" t="s">
        <v>106</v>
      </c>
      <c r="D29" t="s">
        <v>89</v>
      </c>
      <c r="E29" t="s">
        <v>67</v>
      </c>
      <c r="F29" t="s">
        <v>195</v>
      </c>
      <c r="G29" t="s">
        <v>196</v>
      </c>
      <c r="H29" t="s">
        <v>124</v>
      </c>
      <c r="I29" t="s">
        <v>71</v>
      </c>
      <c r="J29" t="s">
        <v>72</v>
      </c>
      <c r="K29" t="s">
        <v>73</v>
      </c>
      <c r="L29">
        <v>5.5</v>
      </c>
      <c r="M29">
        <v>4</v>
      </c>
      <c r="N29" t="s">
        <v>75</v>
      </c>
      <c r="O29" t="s">
        <v>135</v>
      </c>
      <c r="P29" t="s">
        <v>100</v>
      </c>
      <c r="Q29" t="s">
        <v>101</v>
      </c>
      <c r="R29" t="s">
        <v>102</v>
      </c>
      <c r="S29" t="s">
        <v>102</v>
      </c>
      <c r="T29" t="s">
        <v>111</v>
      </c>
      <c r="U29" t="s">
        <v>80</v>
      </c>
      <c r="V29" t="s">
        <v>80</v>
      </c>
      <c r="W29" t="s">
        <v>102</v>
      </c>
      <c r="X29" t="s">
        <v>170</v>
      </c>
      <c r="Y29">
        <v>9</v>
      </c>
      <c r="Z29">
        <v>6.5</v>
      </c>
      <c r="AA29" t="s">
        <v>126</v>
      </c>
      <c r="AB29" t="s">
        <v>103</v>
      </c>
      <c r="AC29">
        <v>6.5</v>
      </c>
      <c r="AD29">
        <v>6</v>
      </c>
      <c r="AE29">
        <v>3</v>
      </c>
      <c r="AF29">
        <v>5</v>
      </c>
      <c r="AG29">
        <v>5</v>
      </c>
      <c r="AH29">
        <v>5</v>
      </c>
      <c r="AI29" t="s">
        <v>80</v>
      </c>
      <c r="AJ29" t="s">
        <v>111</v>
      </c>
      <c r="AK29">
        <v>16</v>
      </c>
      <c r="AL29">
        <v>38</v>
      </c>
      <c r="AM29" t="s">
        <v>131</v>
      </c>
      <c r="AN29" t="s">
        <v>111</v>
      </c>
      <c r="AO29" t="s">
        <v>80</v>
      </c>
      <c r="AP29" t="s">
        <v>111</v>
      </c>
      <c r="AQ29">
        <v>5</v>
      </c>
      <c r="AR29">
        <v>4</v>
      </c>
      <c r="AS29">
        <v>5</v>
      </c>
      <c r="AT29" t="s">
        <v>131</v>
      </c>
      <c r="AU29">
        <v>20</v>
      </c>
      <c r="AV29" t="s">
        <v>80</v>
      </c>
      <c r="AW29" t="s">
        <v>80</v>
      </c>
      <c r="AX29">
        <v>5</v>
      </c>
      <c r="AY29" t="s">
        <v>102</v>
      </c>
      <c r="AZ29" t="s">
        <v>80</v>
      </c>
      <c r="BA29">
        <v>6</v>
      </c>
      <c r="BB29">
        <v>5</v>
      </c>
      <c r="BC29" t="s">
        <v>111</v>
      </c>
      <c r="BD29">
        <v>6</v>
      </c>
      <c r="BE29">
        <v>3</v>
      </c>
      <c r="BF29">
        <v>10</v>
      </c>
      <c r="BG29" t="s">
        <v>86</v>
      </c>
      <c r="BH29" t="s">
        <v>171</v>
      </c>
      <c r="BI29">
        <v>5.8</v>
      </c>
      <c r="BJ29">
        <v>6.2</v>
      </c>
      <c r="BK29">
        <v>4.5</v>
      </c>
      <c r="BL29">
        <v>6.8</v>
      </c>
    </row>
    <row r="30" spans="1:64" x14ac:dyDescent="0.25">
      <c r="A30" t="s">
        <v>197</v>
      </c>
      <c r="B30">
        <v>17</v>
      </c>
      <c r="C30" t="s">
        <v>65</v>
      </c>
      <c r="D30" t="s">
        <v>66</v>
      </c>
      <c r="E30" t="s">
        <v>149</v>
      </c>
      <c r="F30" t="s">
        <v>198</v>
      </c>
      <c r="G30" t="s">
        <v>199</v>
      </c>
      <c r="H30" t="s">
        <v>70</v>
      </c>
      <c r="I30" t="s">
        <v>71</v>
      </c>
      <c r="J30" t="s">
        <v>72</v>
      </c>
      <c r="K30" t="s">
        <v>73</v>
      </c>
      <c r="L30">
        <v>7</v>
      </c>
      <c r="M30">
        <v>4</v>
      </c>
      <c r="N30" t="s">
        <v>74</v>
      </c>
      <c r="O30" t="s">
        <v>93</v>
      </c>
      <c r="P30" t="s">
        <v>76</v>
      </c>
      <c r="Q30" t="s">
        <v>77</v>
      </c>
      <c r="R30" t="s">
        <v>78</v>
      </c>
      <c r="S30" t="s">
        <v>79</v>
      </c>
      <c r="T30" t="s">
        <v>102</v>
      </c>
      <c r="U30" t="s">
        <v>80</v>
      </c>
      <c r="V30" t="s">
        <v>80</v>
      </c>
      <c r="W30" t="s">
        <v>78</v>
      </c>
      <c r="X30" t="s">
        <v>81</v>
      </c>
      <c r="Y30">
        <v>11</v>
      </c>
      <c r="Z30">
        <v>5.5</v>
      </c>
      <c r="AA30" t="s">
        <v>82</v>
      </c>
      <c r="AB30" t="s">
        <v>83</v>
      </c>
      <c r="AC30">
        <v>6</v>
      </c>
      <c r="AD30">
        <v>9</v>
      </c>
      <c r="AE30">
        <v>5</v>
      </c>
      <c r="AF30">
        <v>8</v>
      </c>
      <c r="AG30">
        <v>8</v>
      </c>
      <c r="AH30">
        <v>8</v>
      </c>
      <c r="AI30" t="s">
        <v>80</v>
      </c>
      <c r="AJ30" t="s">
        <v>80</v>
      </c>
      <c r="AK30">
        <v>9</v>
      </c>
      <c r="AL30">
        <v>20</v>
      </c>
      <c r="AM30" t="s">
        <v>84</v>
      </c>
      <c r="AN30" t="s">
        <v>80</v>
      </c>
      <c r="AO30" t="s">
        <v>80</v>
      </c>
      <c r="AP30" t="s">
        <v>80</v>
      </c>
      <c r="AQ30">
        <v>3</v>
      </c>
      <c r="AR30">
        <v>3</v>
      </c>
      <c r="AS30">
        <v>3</v>
      </c>
      <c r="AT30" t="s">
        <v>85</v>
      </c>
      <c r="AU30">
        <v>10</v>
      </c>
      <c r="AV30" t="s">
        <v>80</v>
      </c>
      <c r="AW30" t="s">
        <v>80</v>
      </c>
      <c r="AX30">
        <v>8</v>
      </c>
      <c r="AY30" t="s">
        <v>78</v>
      </c>
      <c r="AZ30" t="s">
        <v>80</v>
      </c>
      <c r="BA30">
        <v>9</v>
      </c>
      <c r="BB30">
        <v>8</v>
      </c>
      <c r="BC30" t="s">
        <v>80</v>
      </c>
      <c r="BD30">
        <v>9</v>
      </c>
      <c r="BE30">
        <v>2</v>
      </c>
      <c r="BF30">
        <v>3</v>
      </c>
      <c r="BG30" t="s">
        <v>152</v>
      </c>
      <c r="BH30" t="s">
        <v>87</v>
      </c>
      <c r="BI30">
        <v>9</v>
      </c>
      <c r="BJ30">
        <v>9.3000000000000007</v>
      </c>
      <c r="BK30">
        <v>2.2000000000000002</v>
      </c>
      <c r="BL30">
        <v>9.6</v>
      </c>
    </row>
    <row r="31" spans="1:64" x14ac:dyDescent="0.25">
      <c r="A31" t="s">
        <v>200</v>
      </c>
      <c r="B31">
        <v>20</v>
      </c>
      <c r="C31" t="s">
        <v>106</v>
      </c>
      <c r="D31" t="s">
        <v>89</v>
      </c>
      <c r="E31" t="s">
        <v>97</v>
      </c>
      <c r="F31" t="s">
        <v>201</v>
      </c>
      <c r="G31" t="s">
        <v>202</v>
      </c>
      <c r="H31" t="s">
        <v>70</v>
      </c>
      <c r="I31" t="s">
        <v>71</v>
      </c>
      <c r="J31" t="s">
        <v>72</v>
      </c>
      <c r="K31" t="s">
        <v>73</v>
      </c>
      <c r="L31">
        <v>5</v>
      </c>
      <c r="M31">
        <v>3</v>
      </c>
      <c r="N31" t="s">
        <v>75</v>
      </c>
      <c r="O31" t="s">
        <v>135</v>
      </c>
      <c r="P31" t="s">
        <v>100</v>
      </c>
      <c r="Q31" t="s">
        <v>101</v>
      </c>
      <c r="R31" t="s">
        <v>102</v>
      </c>
      <c r="S31" t="s">
        <v>111</v>
      </c>
      <c r="T31" t="s">
        <v>111</v>
      </c>
      <c r="U31" t="s">
        <v>80</v>
      </c>
      <c r="V31" t="s">
        <v>80</v>
      </c>
      <c r="W31" t="s">
        <v>102</v>
      </c>
      <c r="X31" t="s">
        <v>155</v>
      </c>
      <c r="Y31">
        <v>8.5</v>
      </c>
      <c r="Z31">
        <v>7</v>
      </c>
      <c r="AA31" t="s">
        <v>126</v>
      </c>
      <c r="AB31" t="s">
        <v>103</v>
      </c>
      <c r="AC31">
        <v>6.5</v>
      </c>
      <c r="AD31">
        <v>6</v>
      </c>
      <c r="AE31">
        <v>3</v>
      </c>
      <c r="AF31">
        <v>5</v>
      </c>
      <c r="AG31">
        <v>5</v>
      </c>
      <c r="AH31">
        <v>4</v>
      </c>
      <c r="AI31" t="s">
        <v>80</v>
      </c>
      <c r="AJ31" t="s">
        <v>111</v>
      </c>
      <c r="AK31">
        <v>16</v>
      </c>
      <c r="AL31">
        <v>38</v>
      </c>
      <c r="AM31" t="s">
        <v>131</v>
      </c>
      <c r="AN31" t="s">
        <v>111</v>
      </c>
      <c r="AO31" t="s">
        <v>111</v>
      </c>
      <c r="AP31" t="s">
        <v>111</v>
      </c>
      <c r="AQ31">
        <v>5</v>
      </c>
      <c r="AR31">
        <v>4</v>
      </c>
      <c r="AS31">
        <v>5</v>
      </c>
      <c r="AT31" t="s">
        <v>131</v>
      </c>
      <c r="AU31">
        <v>20</v>
      </c>
      <c r="AV31" t="s">
        <v>80</v>
      </c>
      <c r="AW31" t="s">
        <v>111</v>
      </c>
      <c r="AX31">
        <v>5</v>
      </c>
      <c r="AY31" t="s">
        <v>102</v>
      </c>
      <c r="AZ31" t="s">
        <v>111</v>
      </c>
      <c r="BA31">
        <v>6</v>
      </c>
      <c r="BB31">
        <v>5</v>
      </c>
      <c r="BC31" t="s">
        <v>111</v>
      </c>
      <c r="BD31">
        <v>5</v>
      </c>
      <c r="BE31">
        <v>3</v>
      </c>
      <c r="BF31">
        <v>10</v>
      </c>
      <c r="BG31" t="s">
        <v>86</v>
      </c>
      <c r="BH31" t="s">
        <v>171</v>
      </c>
      <c r="BI31">
        <v>5.5</v>
      </c>
      <c r="BJ31">
        <v>6</v>
      </c>
      <c r="BK31">
        <v>4.8</v>
      </c>
      <c r="BL31">
        <v>6.5</v>
      </c>
    </row>
    <row r="32" spans="1:64" x14ac:dyDescent="0.25">
      <c r="A32" t="s">
        <v>203</v>
      </c>
      <c r="B32">
        <v>23</v>
      </c>
      <c r="C32" t="s">
        <v>154</v>
      </c>
      <c r="D32" t="s">
        <v>66</v>
      </c>
      <c r="E32" t="s">
        <v>107</v>
      </c>
      <c r="F32" t="s">
        <v>204</v>
      </c>
      <c r="G32" t="s">
        <v>205</v>
      </c>
      <c r="H32" t="s">
        <v>124</v>
      </c>
      <c r="I32" t="s">
        <v>71</v>
      </c>
      <c r="J32" t="s">
        <v>72</v>
      </c>
      <c r="K32" t="s">
        <v>143</v>
      </c>
      <c r="L32">
        <v>5</v>
      </c>
      <c r="M32">
        <v>5</v>
      </c>
      <c r="N32" t="s">
        <v>74</v>
      </c>
      <c r="O32" t="s">
        <v>93</v>
      </c>
      <c r="P32" t="s">
        <v>100</v>
      </c>
      <c r="Q32" t="s">
        <v>101</v>
      </c>
      <c r="R32" t="s">
        <v>102</v>
      </c>
      <c r="S32" t="s">
        <v>102</v>
      </c>
      <c r="T32" t="s">
        <v>111</v>
      </c>
      <c r="U32" t="s">
        <v>80</v>
      </c>
      <c r="V32" t="s">
        <v>80</v>
      </c>
      <c r="W32" t="s">
        <v>102</v>
      </c>
      <c r="X32" t="s">
        <v>125</v>
      </c>
      <c r="Y32">
        <v>9</v>
      </c>
      <c r="Z32">
        <v>7</v>
      </c>
      <c r="AA32" t="s">
        <v>126</v>
      </c>
      <c r="AB32" t="s">
        <v>103</v>
      </c>
      <c r="AC32">
        <v>6.5</v>
      </c>
      <c r="AD32">
        <v>7</v>
      </c>
      <c r="AE32">
        <v>3</v>
      </c>
      <c r="AF32">
        <v>7</v>
      </c>
      <c r="AG32">
        <v>7</v>
      </c>
      <c r="AH32">
        <v>6</v>
      </c>
      <c r="AI32" t="s">
        <v>80</v>
      </c>
      <c r="AJ32" t="s">
        <v>80</v>
      </c>
      <c r="AK32">
        <v>14</v>
      </c>
      <c r="AL32">
        <v>33</v>
      </c>
      <c r="AM32" t="s">
        <v>131</v>
      </c>
      <c r="AN32" t="s">
        <v>80</v>
      </c>
      <c r="AO32" t="s">
        <v>111</v>
      </c>
      <c r="AP32" t="s">
        <v>111</v>
      </c>
      <c r="AQ32">
        <v>5</v>
      </c>
      <c r="AR32">
        <v>4</v>
      </c>
      <c r="AS32">
        <v>5</v>
      </c>
      <c r="AT32" t="s">
        <v>131</v>
      </c>
      <c r="AU32">
        <v>18</v>
      </c>
      <c r="AV32" t="s">
        <v>80</v>
      </c>
      <c r="AW32" t="s">
        <v>80</v>
      </c>
      <c r="AX32">
        <v>6</v>
      </c>
      <c r="AY32" t="s">
        <v>102</v>
      </c>
      <c r="AZ32" t="s">
        <v>80</v>
      </c>
      <c r="BA32">
        <v>7</v>
      </c>
      <c r="BB32">
        <v>7</v>
      </c>
      <c r="BC32" t="s">
        <v>80</v>
      </c>
      <c r="BD32">
        <v>7</v>
      </c>
      <c r="BE32">
        <v>3</v>
      </c>
      <c r="BF32">
        <v>9</v>
      </c>
      <c r="BG32" t="s">
        <v>152</v>
      </c>
      <c r="BH32" t="s">
        <v>131</v>
      </c>
      <c r="BI32">
        <v>6.5</v>
      </c>
      <c r="BJ32">
        <v>7</v>
      </c>
      <c r="BK32">
        <v>3.9</v>
      </c>
      <c r="BL32">
        <v>7.5</v>
      </c>
    </row>
    <row r="33" spans="1:64" x14ac:dyDescent="0.25">
      <c r="A33" t="s">
        <v>206</v>
      </c>
      <c r="B33">
        <v>19</v>
      </c>
      <c r="C33" t="s">
        <v>106</v>
      </c>
      <c r="D33" t="s">
        <v>89</v>
      </c>
      <c r="E33" t="s">
        <v>90</v>
      </c>
      <c r="F33" t="s">
        <v>207</v>
      </c>
      <c r="G33" t="s">
        <v>208</v>
      </c>
      <c r="H33" t="s">
        <v>70</v>
      </c>
      <c r="I33" t="s">
        <v>71</v>
      </c>
      <c r="J33" t="s">
        <v>72</v>
      </c>
      <c r="K33" t="s">
        <v>73</v>
      </c>
      <c r="L33">
        <v>7</v>
      </c>
      <c r="M33">
        <v>5</v>
      </c>
      <c r="N33" t="s">
        <v>135</v>
      </c>
      <c r="O33" t="s">
        <v>93</v>
      </c>
      <c r="P33" t="s">
        <v>76</v>
      </c>
      <c r="Q33" t="s">
        <v>77</v>
      </c>
      <c r="R33" t="s">
        <v>78</v>
      </c>
      <c r="S33" t="s">
        <v>79</v>
      </c>
      <c r="T33" t="s">
        <v>102</v>
      </c>
      <c r="U33" t="s">
        <v>80</v>
      </c>
      <c r="V33" t="s">
        <v>80</v>
      </c>
      <c r="W33" t="s">
        <v>78</v>
      </c>
      <c r="X33" t="s">
        <v>81</v>
      </c>
      <c r="Y33">
        <v>11</v>
      </c>
      <c r="Z33">
        <v>5.5</v>
      </c>
      <c r="AA33" t="s">
        <v>82</v>
      </c>
      <c r="AB33" t="s">
        <v>83</v>
      </c>
      <c r="AC33">
        <v>6</v>
      </c>
      <c r="AD33">
        <v>9</v>
      </c>
      <c r="AE33">
        <v>5</v>
      </c>
      <c r="AF33">
        <v>8</v>
      </c>
      <c r="AG33">
        <v>6</v>
      </c>
      <c r="AH33">
        <v>7</v>
      </c>
      <c r="AI33" t="s">
        <v>80</v>
      </c>
      <c r="AJ33" t="s">
        <v>80</v>
      </c>
      <c r="AK33">
        <v>9</v>
      </c>
      <c r="AL33">
        <v>20</v>
      </c>
      <c r="AM33" t="s">
        <v>84</v>
      </c>
      <c r="AN33" t="s">
        <v>80</v>
      </c>
      <c r="AO33" t="s">
        <v>80</v>
      </c>
      <c r="AP33" t="s">
        <v>80</v>
      </c>
      <c r="AQ33">
        <v>4</v>
      </c>
      <c r="AR33">
        <v>3</v>
      </c>
      <c r="AS33">
        <v>4</v>
      </c>
      <c r="AT33" t="s">
        <v>85</v>
      </c>
      <c r="AU33">
        <v>11</v>
      </c>
      <c r="AV33" t="s">
        <v>80</v>
      </c>
      <c r="AW33" t="s">
        <v>80</v>
      </c>
      <c r="AX33">
        <v>7</v>
      </c>
      <c r="AY33" t="s">
        <v>78</v>
      </c>
      <c r="AZ33" t="s">
        <v>80</v>
      </c>
      <c r="BA33">
        <v>8</v>
      </c>
      <c r="BB33">
        <v>8</v>
      </c>
      <c r="BC33" t="s">
        <v>80</v>
      </c>
      <c r="BD33">
        <v>9</v>
      </c>
      <c r="BE33">
        <v>2</v>
      </c>
      <c r="BF33">
        <v>4</v>
      </c>
      <c r="BG33" t="s">
        <v>86</v>
      </c>
      <c r="BH33" t="s">
        <v>87</v>
      </c>
      <c r="BI33">
        <v>8.8000000000000007</v>
      </c>
      <c r="BJ33">
        <v>9</v>
      </c>
      <c r="BK33">
        <v>2.4</v>
      </c>
      <c r="BL33">
        <v>9.4</v>
      </c>
    </row>
    <row r="34" spans="1:64" x14ac:dyDescent="0.25">
      <c r="A34" t="s">
        <v>209</v>
      </c>
      <c r="B34">
        <v>22</v>
      </c>
      <c r="C34" t="s">
        <v>106</v>
      </c>
      <c r="D34" t="s">
        <v>66</v>
      </c>
      <c r="E34" t="s">
        <v>67</v>
      </c>
      <c r="F34" t="s">
        <v>68</v>
      </c>
      <c r="G34" t="s">
        <v>69</v>
      </c>
      <c r="H34" t="s">
        <v>124</v>
      </c>
      <c r="I34" t="s">
        <v>71</v>
      </c>
      <c r="J34" t="s">
        <v>72</v>
      </c>
      <c r="K34" t="s">
        <v>73</v>
      </c>
      <c r="L34">
        <v>7.5</v>
      </c>
      <c r="M34">
        <v>5</v>
      </c>
      <c r="N34" t="s">
        <v>74</v>
      </c>
      <c r="O34" t="s">
        <v>75</v>
      </c>
      <c r="P34" t="s">
        <v>76</v>
      </c>
      <c r="Q34" t="s">
        <v>77</v>
      </c>
      <c r="R34" t="s">
        <v>78</v>
      </c>
      <c r="S34" t="s">
        <v>79</v>
      </c>
      <c r="T34" t="s">
        <v>102</v>
      </c>
      <c r="U34" t="s">
        <v>80</v>
      </c>
      <c r="V34" t="s">
        <v>80</v>
      </c>
      <c r="W34" t="s">
        <v>78</v>
      </c>
      <c r="X34" t="s">
        <v>81</v>
      </c>
      <c r="Y34">
        <v>11.5</v>
      </c>
      <c r="Z34">
        <v>6</v>
      </c>
      <c r="AA34" t="s">
        <v>82</v>
      </c>
      <c r="AB34" t="s">
        <v>83</v>
      </c>
      <c r="AC34">
        <v>5.5</v>
      </c>
      <c r="AD34">
        <v>9</v>
      </c>
      <c r="AE34">
        <v>5</v>
      </c>
      <c r="AF34">
        <v>8</v>
      </c>
      <c r="AG34">
        <v>9</v>
      </c>
      <c r="AH34">
        <v>9</v>
      </c>
      <c r="AI34" t="s">
        <v>80</v>
      </c>
      <c r="AJ34" t="s">
        <v>80</v>
      </c>
      <c r="AK34">
        <v>8</v>
      </c>
      <c r="AL34">
        <v>17</v>
      </c>
      <c r="AM34" t="s">
        <v>84</v>
      </c>
      <c r="AN34" t="s">
        <v>80</v>
      </c>
      <c r="AO34" t="s">
        <v>80</v>
      </c>
      <c r="AP34" t="s">
        <v>80</v>
      </c>
      <c r="AQ34">
        <v>3</v>
      </c>
      <c r="AR34">
        <v>3</v>
      </c>
      <c r="AS34">
        <v>3</v>
      </c>
      <c r="AT34" t="s">
        <v>85</v>
      </c>
      <c r="AU34">
        <v>9</v>
      </c>
      <c r="AV34" t="s">
        <v>80</v>
      </c>
      <c r="AW34" t="s">
        <v>80</v>
      </c>
      <c r="AX34">
        <v>8</v>
      </c>
      <c r="AY34" t="s">
        <v>78</v>
      </c>
      <c r="AZ34" t="s">
        <v>80</v>
      </c>
      <c r="BA34">
        <v>9</v>
      </c>
      <c r="BB34">
        <v>9</v>
      </c>
      <c r="BC34" t="s">
        <v>80</v>
      </c>
      <c r="BD34">
        <v>10</v>
      </c>
      <c r="BE34">
        <v>1</v>
      </c>
      <c r="BF34">
        <v>2</v>
      </c>
      <c r="BG34" t="s">
        <v>136</v>
      </c>
      <c r="BH34" t="s">
        <v>87</v>
      </c>
      <c r="BI34">
        <v>9.4</v>
      </c>
      <c r="BJ34">
        <v>9.6</v>
      </c>
      <c r="BK34">
        <v>1.9</v>
      </c>
      <c r="BL34">
        <v>9.8000000000000007</v>
      </c>
    </row>
    <row r="35" spans="1:64" x14ac:dyDescent="0.25">
      <c r="A35" t="s">
        <v>210</v>
      </c>
      <c r="B35">
        <v>25</v>
      </c>
      <c r="C35" t="s">
        <v>154</v>
      </c>
      <c r="D35" t="s">
        <v>89</v>
      </c>
      <c r="E35" t="s">
        <v>107</v>
      </c>
      <c r="F35" t="s">
        <v>108</v>
      </c>
      <c r="G35" t="s">
        <v>109</v>
      </c>
      <c r="H35" t="s">
        <v>124</v>
      </c>
      <c r="I35" t="s">
        <v>166</v>
      </c>
      <c r="J35" t="s">
        <v>167</v>
      </c>
      <c r="K35" t="s">
        <v>143</v>
      </c>
      <c r="L35">
        <v>4.5</v>
      </c>
      <c r="M35">
        <v>7</v>
      </c>
      <c r="N35" t="s">
        <v>75</v>
      </c>
      <c r="O35" t="s">
        <v>110</v>
      </c>
      <c r="P35" t="s">
        <v>100</v>
      </c>
      <c r="Q35" t="s">
        <v>101</v>
      </c>
      <c r="R35" t="s">
        <v>111</v>
      </c>
      <c r="S35" t="s">
        <v>111</v>
      </c>
      <c r="T35" t="s">
        <v>111</v>
      </c>
      <c r="U35" t="s">
        <v>80</v>
      </c>
      <c r="V35" t="s">
        <v>80</v>
      </c>
      <c r="W35" t="s">
        <v>102</v>
      </c>
      <c r="X35" t="s">
        <v>112</v>
      </c>
      <c r="Y35">
        <v>8.5</v>
      </c>
      <c r="Z35">
        <v>7.5</v>
      </c>
      <c r="AA35" t="s">
        <v>126</v>
      </c>
      <c r="AB35" t="s">
        <v>103</v>
      </c>
      <c r="AC35">
        <v>8</v>
      </c>
      <c r="AD35">
        <v>6</v>
      </c>
      <c r="AE35">
        <v>3</v>
      </c>
      <c r="AF35">
        <v>5</v>
      </c>
      <c r="AG35">
        <v>4</v>
      </c>
      <c r="AH35">
        <v>4</v>
      </c>
      <c r="AI35" t="s">
        <v>80</v>
      </c>
      <c r="AJ35" t="s">
        <v>111</v>
      </c>
      <c r="AK35">
        <v>20</v>
      </c>
      <c r="AL35">
        <v>50</v>
      </c>
      <c r="AM35" t="s">
        <v>131</v>
      </c>
      <c r="AN35" t="s">
        <v>111</v>
      </c>
      <c r="AO35" t="s">
        <v>111</v>
      </c>
      <c r="AP35" t="s">
        <v>111</v>
      </c>
      <c r="AQ35">
        <v>5</v>
      </c>
      <c r="AR35">
        <v>5</v>
      </c>
      <c r="AS35">
        <v>5</v>
      </c>
      <c r="AT35" t="s">
        <v>131</v>
      </c>
      <c r="AU35">
        <v>28</v>
      </c>
      <c r="AV35" t="s">
        <v>80</v>
      </c>
      <c r="AW35" t="s">
        <v>111</v>
      </c>
      <c r="AX35">
        <v>4</v>
      </c>
      <c r="AY35" t="s">
        <v>102</v>
      </c>
      <c r="AZ35" t="s">
        <v>111</v>
      </c>
      <c r="BA35">
        <v>5</v>
      </c>
      <c r="BB35">
        <v>4</v>
      </c>
      <c r="BC35" t="s">
        <v>111</v>
      </c>
      <c r="BD35">
        <v>5</v>
      </c>
      <c r="BE35">
        <v>5</v>
      </c>
      <c r="BF35">
        <v>18</v>
      </c>
      <c r="BG35" t="s">
        <v>86</v>
      </c>
      <c r="BH35" t="s">
        <v>171</v>
      </c>
      <c r="BI35">
        <v>5</v>
      </c>
      <c r="BJ35">
        <v>5.5</v>
      </c>
      <c r="BK35">
        <v>5.2</v>
      </c>
      <c r="BL35">
        <v>6</v>
      </c>
    </row>
    <row r="36" spans="1:64" x14ac:dyDescent="0.25">
      <c r="A36" t="s">
        <v>211</v>
      </c>
      <c r="B36">
        <v>16</v>
      </c>
      <c r="C36" t="s">
        <v>65</v>
      </c>
      <c r="D36" t="s">
        <v>66</v>
      </c>
      <c r="E36" t="s">
        <v>97</v>
      </c>
      <c r="F36" t="s">
        <v>98</v>
      </c>
      <c r="G36" t="s">
        <v>99</v>
      </c>
      <c r="H36" t="s">
        <v>70</v>
      </c>
      <c r="I36" t="s">
        <v>71</v>
      </c>
      <c r="J36" t="s">
        <v>72</v>
      </c>
      <c r="K36" t="s">
        <v>73</v>
      </c>
      <c r="L36">
        <v>8</v>
      </c>
      <c r="M36">
        <v>4</v>
      </c>
      <c r="N36" t="s">
        <v>93</v>
      </c>
      <c r="O36" t="s">
        <v>74</v>
      </c>
      <c r="P36" t="s">
        <v>76</v>
      </c>
      <c r="Q36" t="s">
        <v>77</v>
      </c>
      <c r="R36" t="s">
        <v>78</v>
      </c>
      <c r="S36" t="s">
        <v>79</v>
      </c>
      <c r="T36" t="s">
        <v>79</v>
      </c>
      <c r="U36" t="s">
        <v>80</v>
      </c>
      <c r="V36" t="s">
        <v>80</v>
      </c>
      <c r="W36" t="s">
        <v>78</v>
      </c>
      <c r="X36" t="s">
        <v>81</v>
      </c>
      <c r="Y36">
        <v>12</v>
      </c>
      <c r="Z36">
        <v>5</v>
      </c>
      <c r="AA36" t="s">
        <v>94</v>
      </c>
      <c r="AB36" t="s">
        <v>83</v>
      </c>
      <c r="AC36">
        <v>6</v>
      </c>
      <c r="AD36">
        <v>10</v>
      </c>
      <c r="AE36">
        <v>5</v>
      </c>
      <c r="AF36">
        <v>9</v>
      </c>
      <c r="AG36">
        <v>8</v>
      </c>
      <c r="AH36">
        <v>9</v>
      </c>
      <c r="AI36" t="s">
        <v>80</v>
      </c>
      <c r="AJ36" t="s">
        <v>80</v>
      </c>
      <c r="AK36">
        <v>7</v>
      </c>
      <c r="AL36">
        <v>14</v>
      </c>
      <c r="AM36" t="s">
        <v>84</v>
      </c>
      <c r="AN36" t="s">
        <v>80</v>
      </c>
      <c r="AO36" t="s">
        <v>80</v>
      </c>
      <c r="AP36" t="s">
        <v>80</v>
      </c>
      <c r="AQ36">
        <v>3</v>
      </c>
      <c r="AR36">
        <v>2</v>
      </c>
      <c r="AS36">
        <v>3</v>
      </c>
      <c r="AT36" t="s">
        <v>85</v>
      </c>
      <c r="AU36">
        <v>8</v>
      </c>
      <c r="AV36" t="s">
        <v>80</v>
      </c>
      <c r="AW36" t="s">
        <v>80</v>
      </c>
      <c r="AX36">
        <v>9</v>
      </c>
      <c r="AY36" t="s">
        <v>78</v>
      </c>
      <c r="AZ36" t="s">
        <v>80</v>
      </c>
      <c r="BA36">
        <v>10</v>
      </c>
      <c r="BB36">
        <v>9</v>
      </c>
      <c r="BC36" t="s">
        <v>80</v>
      </c>
      <c r="BD36">
        <v>10</v>
      </c>
      <c r="BE36">
        <v>1</v>
      </c>
      <c r="BF36">
        <v>1</v>
      </c>
      <c r="BG36" t="s">
        <v>86</v>
      </c>
      <c r="BH36" t="s">
        <v>87</v>
      </c>
      <c r="BI36">
        <v>9.5</v>
      </c>
      <c r="BJ36">
        <v>9.8000000000000007</v>
      </c>
      <c r="BK36">
        <v>1.5</v>
      </c>
      <c r="BL36">
        <v>9.9</v>
      </c>
    </row>
    <row r="37" spans="1:64" x14ac:dyDescent="0.25">
      <c r="A37" t="s">
        <v>212</v>
      </c>
      <c r="B37">
        <v>21</v>
      </c>
      <c r="C37" t="s">
        <v>106</v>
      </c>
      <c r="D37" t="s">
        <v>89</v>
      </c>
      <c r="E37" t="s">
        <v>114</v>
      </c>
      <c r="F37" t="s">
        <v>115</v>
      </c>
      <c r="G37" t="s">
        <v>116</v>
      </c>
      <c r="H37" t="s">
        <v>124</v>
      </c>
      <c r="I37" t="s">
        <v>71</v>
      </c>
      <c r="J37" t="s">
        <v>72</v>
      </c>
      <c r="K37" t="s">
        <v>73</v>
      </c>
      <c r="L37">
        <v>5.5</v>
      </c>
      <c r="M37">
        <v>4</v>
      </c>
      <c r="N37" t="s">
        <v>75</v>
      </c>
      <c r="O37" t="s">
        <v>93</v>
      </c>
      <c r="P37" t="s">
        <v>100</v>
      </c>
      <c r="Q37" t="s">
        <v>101</v>
      </c>
      <c r="R37" t="s">
        <v>78</v>
      </c>
      <c r="S37" t="s">
        <v>102</v>
      </c>
      <c r="T37" t="s">
        <v>111</v>
      </c>
      <c r="U37" t="s">
        <v>80</v>
      </c>
      <c r="V37" t="s">
        <v>80</v>
      </c>
      <c r="W37" t="s">
        <v>78</v>
      </c>
      <c r="X37" t="s">
        <v>147</v>
      </c>
      <c r="Y37">
        <v>9.5</v>
      </c>
      <c r="Z37">
        <v>6.5</v>
      </c>
      <c r="AA37" t="s">
        <v>126</v>
      </c>
      <c r="AB37" t="s">
        <v>103</v>
      </c>
      <c r="AC37">
        <v>6</v>
      </c>
      <c r="AD37">
        <v>7</v>
      </c>
      <c r="AE37">
        <v>3</v>
      </c>
      <c r="AF37">
        <v>6</v>
      </c>
      <c r="AG37">
        <v>5</v>
      </c>
      <c r="AH37">
        <v>6</v>
      </c>
      <c r="AI37" t="s">
        <v>80</v>
      </c>
      <c r="AJ37" t="s">
        <v>111</v>
      </c>
      <c r="AK37">
        <v>14</v>
      </c>
      <c r="AL37">
        <v>32</v>
      </c>
      <c r="AM37" t="s">
        <v>131</v>
      </c>
      <c r="AN37" t="s">
        <v>80</v>
      </c>
      <c r="AO37" t="s">
        <v>111</v>
      </c>
      <c r="AP37" t="s">
        <v>111</v>
      </c>
      <c r="AQ37">
        <v>5</v>
      </c>
      <c r="AR37">
        <v>4</v>
      </c>
      <c r="AS37">
        <v>5</v>
      </c>
      <c r="AT37" t="s">
        <v>131</v>
      </c>
      <c r="AU37">
        <v>18</v>
      </c>
      <c r="AV37" t="s">
        <v>80</v>
      </c>
      <c r="AW37" t="s">
        <v>80</v>
      </c>
      <c r="AX37">
        <v>6</v>
      </c>
      <c r="AY37" t="s">
        <v>102</v>
      </c>
      <c r="AZ37" t="s">
        <v>80</v>
      </c>
      <c r="BA37">
        <v>7</v>
      </c>
      <c r="BB37">
        <v>7</v>
      </c>
      <c r="BC37" t="s">
        <v>80</v>
      </c>
      <c r="BD37">
        <v>7</v>
      </c>
      <c r="BE37">
        <v>3</v>
      </c>
      <c r="BF37">
        <v>8</v>
      </c>
      <c r="BG37" t="s">
        <v>117</v>
      </c>
      <c r="BH37" t="s">
        <v>131</v>
      </c>
      <c r="BI37">
        <v>6.5</v>
      </c>
      <c r="BJ37">
        <v>7</v>
      </c>
      <c r="BK37">
        <v>3.8</v>
      </c>
      <c r="BL37">
        <v>7.5</v>
      </c>
    </row>
    <row r="38" spans="1:64" x14ac:dyDescent="0.25">
      <c r="A38" t="s">
        <v>213</v>
      </c>
      <c r="B38">
        <v>24</v>
      </c>
      <c r="C38" t="s">
        <v>154</v>
      </c>
      <c r="D38" t="s">
        <v>66</v>
      </c>
      <c r="E38" t="s">
        <v>90</v>
      </c>
      <c r="F38" t="s">
        <v>91</v>
      </c>
      <c r="G38" t="s">
        <v>92</v>
      </c>
      <c r="H38" t="s">
        <v>124</v>
      </c>
      <c r="I38" t="s">
        <v>71</v>
      </c>
      <c r="J38" t="s">
        <v>72</v>
      </c>
      <c r="K38" t="s">
        <v>143</v>
      </c>
      <c r="L38">
        <v>6</v>
      </c>
      <c r="M38">
        <v>6</v>
      </c>
      <c r="N38" t="s">
        <v>168</v>
      </c>
      <c r="O38" t="s">
        <v>214</v>
      </c>
      <c r="P38" t="s">
        <v>100</v>
      </c>
      <c r="Q38" t="s">
        <v>101</v>
      </c>
      <c r="R38" t="s">
        <v>78</v>
      </c>
      <c r="S38" t="s">
        <v>102</v>
      </c>
      <c r="T38" t="s">
        <v>102</v>
      </c>
      <c r="U38" t="s">
        <v>80</v>
      </c>
      <c r="V38" t="s">
        <v>80</v>
      </c>
      <c r="W38" t="s">
        <v>78</v>
      </c>
      <c r="X38" t="s">
        <v>81</v>
      </c>
      <c r="Y38">
        <v>10</v>
      </c>
      <c r="Z38">
        <v>6.5</v>
      </c>
      <c r="AA38" t="s">
        <v>126</v>
      </c>
      <c r="AB38" t="s">
        <v>103</v>
      </c>
      <c r="AC38">
        <v>6</v>
      </c>
      <c r="AD38">
        <v>8</v>
      </c>
      <c r="AE38">
        <v>4</v>
      </c>
      <c r="AF38">
        <v>7</v>
      </c>
      <c r="AG38">
        <v>7</v>
      </c>
      <c r="AH38">
        <v>7</v>
      </c>
      <c r="AI38" t="s">
        <v>80</v>
      </c>
      <c r="AJ38" t="s">
        <v>80</v>
      </c>
      <c r="AK38">
        <v>12</v>
      </c>
      <c r="AL38">
        <v>28</v>
      </c>
      <c r="AM38" t="s">
        <v>84</v>
      </c>
      <c r="AN38" t="s">
        <v>80</v>
      </c>
      <c r="AO38" t="s">
        <v>80</v>
      </c>
      <c r="AP38" t="s">
        <v>80</v>
      </c>
      <c r="AQ38">
        <v>4</v>
      </c>
      <c r="AR38">
        <v>4</v>
      </c>
      <c r="AS38">
        <v>4</v>
      </c>
      <c r="AT38" t="s">
        <v>85</v>
      </c>
      <c r="AU38">
        <v>14</v>
      </c>
      <c r="AV38" t="s">
        <v>80</v>
      </c>
      <c r="AW38" t="s">
        <v>80</v>
      </c>
      <c r="AX38">
        <v>7</v>
      </c>
      <c r="AY38" t="s">
        <v>78</v>
      </c>
      <c r="AZ38" t="s">
        <v>80</v>
      </c>
      <c r="BA38">
        <v>8</v>
      </c>
      <c r="BB38">
        <v>7</v>
      </c>
      <c r="BC38" t="s">
        <v>80</v>
      </c>
      <c r="BD38">
        <v>8</v>
      </c>
      <c r="BE38">
        <v>2</v>
      </c>
      <c r="BF38">
        <v>5</v>
      </c>
      <c r="BG38" t="s">
        <v>136</v>
      </c>
      <c r="BH38" t="s">
        <v>104</v>
      </c>
      <c r="BI38">
        <v>7.5</v>
      </c>
      <c r="BJ38">
        <v>8</v>
      </c>
      <c r="BK38">
        <v>3.2</v>
      </c>
      <c r="BL38">
        <v>8.5</v>
      </c>
    </row>
    <row r="39" spans="1:64" x14ac:dyDescent="0.25">
      <c r="A39" t="s">
        <v>215</v>
      </c>
      <c r="B39">
        <v>18</v>
      </c>
      <c r="C39" t="s">
        <v>106</v>
      </c>
      <c r="D39" t="s">
        <v>89</v>
      </c>
      <c r="E39" t="s">
        <v>67</v>
      </c>
      <c r="F39" t="s">
        <v>119</v>
      </c>
      <c r="G39" t="s">
        <v>120</v>
      </c>
      <c r="H39" t="s">
        <v>70</v>
      </c>
      <c r="I39" t="s">
        <v>71</v>
      </c>
      <c r="J39" t="s">
        <v>72</v>
      </c>
      <c r="K39" t="s">
        <v>73</v>
      </c>
      <c r="L39">
        <v>6</v>
      </c>
      <c r="M39">
        <v>3</v>
      </c>
      <c r="N39" t="s">
        <v>75</v>
      </c>
      <c r="O39" t="s">
        <v>93</v>
      </c>
      <c r="P39" t="s">
        <v>76</v>
      </c>
      <c r="Q39" t="s">
        <v>77</v>
      </c>
      <c r="R39" t="s">
        <v>78</v>
      </c>
      <c r="S39" t="s">
        <v>102</v>
      </c>
      <c r="T39" t="s">
        <v>102</v>
      </c>
      <c r="U39" t="s">
        <v>80</v>
      </c>
      <c r="V39" t="s">
        <v>80</v>
      </c>
      <c r="W39" t="s">
        <v>78</v>
      </c>
      <c r="X39" t="s">
        <v>112</v>
      </c>
      <c r="Y39">
        <v>10</v>
      </c>
      <c r="Z39">
        <v>6</v>
      </c>
      <c r="AA39" t="s">
        <v>82</v>
      </c>
      <c r="AB39" t="s">
        <v>83</v>
      </c>
      <c r="AC39">
        <v>6</v>
      </c>
      <c r="AD39">
        <v>8</v>
      </c>
      <c r="AE39">
        <v>4</v>
      </c>
      <c r="AF39">
        <v>7</v>
      </c>
      <c r="AG39">
        <v>6</v>
      </c>
      <c r="AH39">
        <v>7</v>
      </c>
      <c r="AI39" t="s">
        <v>80</v>
      </c>
      <c r="AJ39" t="s">
        <v>80</v>
      </c>
      <c r="AK39">
        <v>10</v>
      </c>
      <c r="AL39">
        <v>22</v>
      </c>
      <c r="AM39" t="s">
        <v>84</v>
      </c>
      <c r="AN39" t="s">
        <v>80</v>
      </c>
      <c r="AO39" t="s">
        <v>80</v>
      </c>
      <c r="AP39" t="s">
        <v>80</v>
      </c>
      <c r="AQ39">
        <v>4</v>
      </c>
      <c r="AR39">
        <v>3</v>
      </c>
      <c r="AS39">
        <v>4</v>
      </c>
      <c r="AT39" t="s">
        <v>85</v>
      </c>
      <c r="AU39">
        <v>12</v>
      </c>
      <c r="AV39" t="s">
        <v>80</v>
      </c>
      <c r="AW39" t="s">
        <v>80</v>
      </c>
      <c r="AX39">
        <v>7</v>
      </c>
      <c r="AY39" t="s">
        <v>78</v>
      </c>
      <c r="AZ39" t="s">
        <v>80</v>
      </c>
      <c r="BA39">
        <v>8</v>
      </c>
      <c r="BB39">
        <v>8</v>
      </c>
      <c r="BC39" t="s">
        <v>80</v>
      </c>
      <c r="BD39">
        <v>8</v>
      </c>
      <c r="BE39">
        <v>2</v>
      </c>
      <c r="BF39">
        <v>5</v>
      </c>
      <c r="BG39" t="s">
        <v>86</v>
      </c>
      <c r="BH39" t="s">
        <v>104</v>
      </c>
      <c r="BI39">
        <v>7.9</v>
      </c>
      <c r="BJ39">
        <v>8.3000000000000007</v>
      </c>
      <c r="BK39">
        <v>2.8</v>
      </c>
      <c r="BL39">
        <v>8.8000000000000007</v>
      </c>
    </row>
    <row r="40" spans="1:64" x14ac:dyDescent="0.25">
      <c r="A40" t="s">
        <v>216</v>
      </c>
      <c r="B40">
        <v>20</v>
      </c>
      <c r="C40" t="s">
        <v>106</v>
      </c>
      <c r="D40" t="s">
        <v>66</v>
      </c>
      <c r="E40" t="s">
        <v>107</v>
      </c>
      <c r="F40" t="s">
        <v>122</v>
      </c>
      <c r="G40" t="s">
        <v>123</v>
      </c>
      <c r="H40" t="s">
        <v>124</v>
      </c>
      <c r="I40" t="s">
        <v>178</v>
      </c>
      <c r="J40" t="s">
        <v>179</v>
      </c>
      <c r="K40" t="s">
        <v>73</v>
      </c>
      <c r="L40">
        <v>5</v>
      </c>
      <c r="M40">
        <v>5</v>
      </c>
      <c r="N40" t="s">
        <v>93</v>
      </c>
      <c r="O40" t="s">
        <v>74</v>
      </c>
      <c r="P40" t="s">
        <v>100</v>
      </c>
      <c r="Q40" t="s">
        <v>101</v>
      </c>
      <c r="R40" t="s">
        <v>78</v>
      </c>
      <c r="S40" t="s">
        <v>102</v>
      </c>
      <c r="T40" t="s">
        <v>111</v>
      </c>
      <c r="U40" t="s">
        <v>80</v>
      </c>
      <c r="V40" t="s">
        <v>80</v>
      </c>
      <c r="W40" t="s">
        <v>102</v>
      </c>
      <c r="X40" t="s">
        <v>125</v>
      </c>
      <c r="Y40">
        <v>9</v>
      </c>
      <c r="Z40">
        <v>7</v>
      </c>
      <c r="AA40" t="s">
        <v>126</v>
      </c>
      <c r="AB40" t="s">
        <v>103</v>
      </c>
      <c r="AC40">
        <v>6.5</v>
      </c>
      <c r="AD40">
        <v>7</v>
      </c>
      <c r="AE40">
        <v>4</v>
      </c>
      <c r="AF40">
        <v>7</v>
      </c>
      <c r="AG40">
        <v>8</v>
      </c>
      <c r="AH40">
        <v>7</v>
      </c>
      <c r="AI40" t="s">
        <v>80</v>
      </c>
      <c r="AJ40" t="s">
        <v>80</v>
      </c>
      <c r="AK40">
        <v>14</v>
      </c>
      <c r="AL40">
        <v>33</v>
      </c>
      <c r="AM40" t="s">
        <v>131</v>
      </c>
      <c r="AN40" t="s">
        <v>80</v>
      </c>
      <c r="AO40" t="s">
        <v>80</v>
      </c>
      <c r="AP40" t="s">
        <v>111</v>
      </c>
      <c r="AQ40">
        <v>5</v>
      </c>
      <c r="AR40">
        <v>4</v>
      </c>
      <c r="AS40">
        <v>5</v>
      </c>
      <c r="AT40" t="s">
        <v>131</v>
      </c>
      <c r="AU40">
        <v>18</v>
      </c>
      <c r="AV40" t="s">
        <v>80</v>
      </c>
      <c r="AW40" t="s">
        <v>80</v>
      </c>
      <c r="AX40">
        <v>6</v>
      </c>
      <c r="AY40" t="s">
        <v>102</v>
      </c>
      <c r="AZ40" t="s">
        <v>80</v>
      </c>
      <c r="BA40">
        <v>7</v>
      </c>
      <c r="BB40">
        <v>7</v>
      </c>
      <c r="BC40" t="s">
        <v>80</v>
      </c>
      <c r="BD40">
        <v>7</v>
      </c>
      <c r="BE40">
        <v>3</v>
      </c>
      <c r="BF40">
        <v>9</v>
      </c>
      <c r="BG40" t="s">
        <v>117</v>
      </c>
      <c r="BH40" t="s">
        <v>131</v>
      </c>
      <c r="BI40">
        <v>6.8</v>
      </c>
      <c r="BJ40">
        <v>7.2</v>
      </c>
      <c r="BK40">
        <v>3.8</v>
      </c>
      <c r="BL40">
        <v>7.8</v>
      </c>
    </row>
    <row r="41" spans="1:64" x14ac:dyDescent="0.25">
      <c r="A41" t="s">
        <v>217</v>
      </c>
      <c r="B41">
        <v>22</v>
      </c>
      <c r="C41" t="s">
        <v>106</v>
      </c>
      <c r="D41" t="s">
        <v>89</v>
      </c>
      <c r="E41" t="s">
        <v>149</v>
      </c>
      <c r="F41" t="s">
        <v>218</v>
      </c>
      <c r="G41" t="s">
        <v>219</v>
      </c>
      <c r="H41" t="s">
        <v>124</v>
      </c>
      <c r="I41" t="s">
        <v>71</v>
      </c>
      <c r="J41" t="s">
        <v>72</v>
      </c>
      <c r="K41" t="s">
        <v>73</v>
      </c>
      <c r="L41">
        <v>5.5</v>
      </c>
      <c r="M41">
        <v>5</v>
      </c>
      <c r="N41" t="s">
        <v>74</v>
      </c>
      <c r="O41" t="s">
        <v>220</v>
      </c>
      <c r="P41" t="s">
        <v>100</v>
      </c>
      <c r="Q41" t="s">
        <v>101</v>
      </c>
      <c r="R41" t="s">
        <v>102</v>
      </c>
      <c r="S41" t="s">
        <v>102</v>
      </c>
      <c r="T41" t="s">
        <v>111</v>
      </c>
      <c r="U41" t="s">
        <v>80</v>
      </c>
      <c r="V41" t="s">
        <v>80</v>
      </c>
      <c r="W41" t="s">
        <v>78</v>
      </c>
      <c r="X41" t="s">
        <v>170</v>
      </c>
      <c r="Y41">
        <v>9.5</v>
      </c>
      <c r="Z41">
        <v>6.5</v>
      </c>
      <c r="AA41" t="s">
        <v>126</v>
      </c>
      <c r="AB41" t="s">
        <v>103</v>
      </c>
      <c r="AC41">
        <v>6.5</v>
      </c>
      <c r="AD41">
        <v>7</v>
      </c>
      <c r="AE41">
        <v>3</v>
      </c>
      <c r="AF41">
        <v>6</v>
      </c>
      <c r="AG41">
        <v>6</v>
      </c>
      <c r="AH41">
        <v>5</v>
      </c>
      <c r="AI41" t="s">
        <v>80</v>
      </c>
      <c r="AJ41" t="s">
        <v>111</v>
      </c>
      <c r="AK41">
        <v>14</v>
      </c>
      <c r="AL41">
        <v>33</v>
      </c>
      <c r="AM41" t="s">
        <v>131</v>
      </c>
      <c r="AN41" t="s">
        <v>80</v>
      </c>
      <c r="AO41" t="s">
        <v>111</v>
      </c>
      <c r="AP41" t="s">
        <v>111</v>
      </c>
      <c r="AQ41">
        <v>5</v>
      </c>
      <c r="AR41">
        <v>4</v>
      </c>
      <c r="AS41">
        <v>5</v>
      </c>
      <c r="AT41" t="s">
        <v>131</v>
      </c>
      <c r="AU41">
        <v>18</v>
      </c>
      <c r="AV41" t="s">
        <v>80</v>
      </c>
      <c r="AW41" t="s">
        <v>80</v>
      </c>
      <c r="AX41">
        <v>6</v>
      </c>
      <c r="AY41" t="s">
        <v>102</v>
      </c>
      <c r="AZ41" t="s">
        <v>80</v>
      </c>
      <c r="BA41">
        <v>7</v>
      </c>
      <c r="BB41">
        <v>6</v>
      </c>
      <c r="BC41" t="s">
        <v>80</v>
      </c>
      <c r="BD41">
        <v>7</v>
      </c>
      <c r="BE41">
        <v>3</v>
      </c>
      <c r="BF41">
        <v>10</v>
      </c>
      <c r="BG41" t="s">
        <v>86</v>
      </c>
      <c r="BH41" t="s">
        <v>131</v>
      </c>
      <c r="BI41">
        <v>6.5</v>
      </c>
      <c r="BJ41">
        <v>7</v>
      </c>
      <c r="BK41">
        <v>3.9</v>
      </c>
      <c r="BL41">
        <v>7.4</v>
      </c>
    </row>
    <row r="42" spans="1:64" x14ac:dyDescent="0.25">
      <c r="A42" t="s">
        <v>221</v>
      </c>
      <c r="B42">
        <v>19</v>
      </c>
      <c r="C42" t="s">
        <v>106</v>
      </c>
      <c r="D42" t="s">
        <v>66</v>
      </c>
      <c r="E42" t="s">
        <v>90</v>
      </c>
      <c r="F42" t="s">
        <v>222</v>
      </c>
      <c r="G42" t="s">
        <v>223</v>
      </c>
      <c r="H42" t="s">
        <v>70</v>
      </c>
      <c r="I42" t="s">
        <v>71</v>
      </c>
      <c r="J42" t="s">
        <v>72</v>
      </c>
      <c r="K42" t="s">
        <v>73</v>
      </c>
      <c r="L42">
        <v>6.5</v>
      </c>
      <c r="M42">
        <v>4</v>
      </c>
      <c r="N42" t="s">
        <v>93</v>
      </c>
      <c r="O42" t="s">
        <v>135</v>
      </c>
      <c r="P42" t="s">
        <v>76</v>
      </c>
      <c r="Q42" t="s">
        <v>77</v>
      </c>
      <c r="R42" t="s">
        <v>78</v>
      </c>
      <c r="S42" t="s">
        <v>102</v>
      </c>
      <c r="T42" t="s">
        <v>102</v>
      </c>
      <c r="U42" t="s">
        <v>80</v>
      </c>
      <c r="V42" t="s">
        <v>80</v>
      </c>
      <c r="W42" t="s">
        <v>78</v>
      </c>
      <c r="X42" t="s">
        <v>81</v>
      </c>
      <c r="Y42">
        <v>10.5</v>
      </c>
      <c r="Z42">
        <v>6</v>
      </c>
      <c r="AA42" t="s">
        <v>82</v>
      </c>
      <c r="AB42" t="s">
        <v>83</v>
      </c>
      <c r="AC42">
        <v>6</v>
      </c>
      <c r="AD42">
        <v>8</v>
      </c>
      <c r="AE42">
        <v>4</v>
      </c>
      <c r="AF42">
        <v>7</v>
      </c>
      <c r="AG42">
        <v>7</v>
      </c>
      <c r="AH42">
        <v>7</v>
      </c>
      <c r="AI42" t="s">
        <v>80</v>
      </c>
      <c r="AJ42" t="s">
        <v>80</v>
      </c>
      <c r="AK42">
        <v>10</v>
      </c>
      <c r="AL42">
        <v>22</v>
      </c>
      <c r="AM42" t="s">
        <v>84</v>
      </c>
      <c r="AN42" t="s">
        <v>80</v>
      </c>
      <c r="AO42" t="s">
        <v>80</v>
      </c>
      <c r="AP42" t="s">
        <v>80</v>
      </c>
      <c r="AQ42">
        <v>4</v>
      </c>
      <c r="AR42">
        <v>3</v>
      </c>
      <c r="AS42">
        <v>4</v>
      </c>
      <c r="AT42" t="s">
        <v>85</v>
      </c>
      <c r="AU42">
        <v>12</v>
      </c>
      <c r="AV42" t="s">
        <v>80</v>
      </c>
      <c r="AW42" t="s">
        <v>80</v>
      </c>
      <c r="AX42">
        <v>7</v>
      </c>
      <c r="AY42" t="s">
        <v>78</v>
      </c>
      <c r="AZ42" t="s">
        <v>80</v>
      </c>
      <c r="BA42">
        <v>8</v>
      </c>
      <c r="BB42">
        <v>7</v>
      </c>
      <c r="BC42" t="s">
        <v>80</v>
      </c>
      <c r="BD42">
        <v>8</v>
      </c>
      <c r="BE42">
        <v>2</v>
      </c>
      <c r="BF42">
        <v>4</v>
      </c>
      <c r="BG42" t="s">
        <v>86</v>
      </c>
      <c r="BH42" t="s">
        <v>104</v>
      </c>
      <c r="BI42">
        <v>7.8</v>
      </c>
      <c r="BJ42">
        <v>8.1999999999999993</v>
      </c>
      <c r="BK42">
        <v>2.9</v>
      </c>
      <c r="BL42">
        <v>8.6999999999999993</v>
      </c>
    </row>
    <row r="43" spans="1:64" x14ac:dyDescent="0.25">
      <c r="A43" t="s">
        <v>224</v>
      </c>
      <c r="B43">
        <v>23</v>
      </c>
      <c r="C43" t="s">
        <v>154</v>
      </c>
      <c r="D43" t="s">
        <v>89</v>
      </c>
      <c r="E43" t="s">
        <v>97</v>
      </c>
      <c r="F43" t="s">
        <v>225</v>
      </c>
      <c r="G43" t="s">
        <v>226</v>
      </c>
      <c r="H43" t="s">
        <v>124</v>
      </c>
      <c r="I43" t="s">
        <v>71</v>
      </c>
      <c r="J43" t="s">
        <v>72</v>
      </c>
      <c r="K43" t="s">
        <v>73</v>
      </c>
      <c r="L43">
        <v>5.5</v>
      </c>
      <c r="M43">
        <v>4</v>
      </c>
      <c r="N43" t="s">
        <v>75</v>
      </c>
      <c r="O43" t="s">
        <v>135</v>
      </c>
      <c r="P43" t="s">
        <v>100</v>
      </c>
      <c r="Q43" t="s">
        <v>101</v>
      </c>
      <c r="R43" t="s">
        <v>102</v>
      </c>
      <c r="S43" t="s">
        <v>111</v>
      </c>
      <c r="T43" t="s">
        <v>111</v>
      </c>
      <c r="U43" t="s">
        <v>80</v>
      </c>
      <c r="V43" t="s">
        <v>80</v>
      </c>
      <c r="W43" t="s">
        <v>102</v>
      </c>
      <c r="X43" t="s">
        <v>155</v>
      </c>
      <c r="Y43">
        <v>9</v>
      </c>
      <c r="Z43">
        <v>7</v>
      </c>
      <c r="AA43" t="s">
        <v>126</v>
      </c>
      <c r="AB43" t="s">
        <v>103</v>
      </c>
      <c r="AC43">
        <v>6.5</v>
      </c>
      <c r="AD43">
        <v>6</v>
      </c>
      <c r="AE43">
        <v>3</v>
      </c>
      <c r="AF43">
        <v>5</v>
      </c>
      <c r="AG43">
        <v>5</v>
      </c>
      <c r="AH43">
        <v>4</v>
      </c>
      <c r="AI43" t="s">
        <v>80</v>
      </c>
      <c r="AJ43" t="s">
        <v>111</v>
      </c>
      <c r="AK43">
        <v>17</v>
      </c>
      <c r="AL43">
        <v>40</v>
      </c>
      <c r="AM43" t="s">
        <v>131</v>
      </c>
      <c r="AN43" t="s">
        <v>111</v>
      </c>
      <c r="AO43" t="s">
        <v>111</v>
      </c>
      <c r="AP43" t="s">
        <v>111</v>
      </c>
      <c r="AQ43">
        <v>5</v>
      </c>
      <c r="AR43">
        <v>4</v>
      </c>
      <c r="AS43">
        <v>5</v>
      </c>
      <c r="AT43" t="s">
        <v>131</v>
      </c>
      <c r="AU43">
        <v>22</v>
      </c>
      <c r="AV43" t="s">
        <v>80</v>
      </c>
      <c r="AW43" t="s">
        <v>111</v>
      </c>
      <c r="AX43">
        <v>5</v>
      </c>
      <c r="AY43" t="s">
        <v>102</v>
      </c>
      <c r="AZ43" t="s">
        <v>111</v>
      </c>
      <c r="BA43">
        <v>6</v>
      </c>
      <c r="BB43">
        <v>5</v>
      </c>
      <c r="BC43" t="s">
        <v>111</v>
      </c>
      <c r="BD43">
        <v>5</v>
      </c>
      <c r="BE43">
        <v>3</v>
      </c>
      <c r="BF43">
        <v>10</v>
      </c>
      <c r="BG43" t="s">
        <v>86</v>
      </c>
      <c r="BH43" t="s">
        <v>171</v>
      </c>
      <c r="BI43">
        <v>5.5</v>
      </c>
      <c r="BJ43">
        <v>6</v>
      </c>
      <c r="BK43">
        <v>4.8</v>
      </c>
      <c r="BL43">
        <v>6.5</v>
      </c>
    </row>
    <row r="44" spans="1:64" x14ac:dyDescent="0.25">
      <c r="A44" t="s">
        <v>227</v>
      </c>
      <c r="B44">
        <v>21</v>
      </c>
      <c r="C44" t="s">
        <v>106</v>
      </c>
      <c r="D44" t="s">
        <v>66</v>
      </c>
      <c r="E44" t="s">
        <v>114</v>
      </c>
      <c r="F44" t="s">
        <v>228</v>
      </c>
      <c r="G44" t="s">
        <v>229</v>
      </c>
      <c r="H44" t="s">
        <v>124</v>
      </c>
      <c r="I44" t="s">
        <v>71</v>
      </c>
      <c r="J44" t="s">
        <v>72</v>
      </c>
      <c r="K44" t="s">
        <v>73</v>
      </c>
      <c r="L44">
        <v>6.5</v>
      </c>
      <c r="M44">
        <v>4</v>
      </c>
      <c r="N44" t="s">
        <v>74</v>
      </c>
      <c r="O44" t="s">
        <v>93</v>
      </c>
      <c r="P44" t="s">
        <v>76</v>
      </c>
      <c r="Q44" t="s">
        <v>77</v>
      </c>
      <c r="R44" t="s">
        <v>78</v>
      </c>
      <c r="S44" t="s">
        <v>102</v>
      </c>
      <c r="T44" t="s">
        <v>102</v>
      </c>
      <c r="U44" t="s">
        <v>80</v>
      </c>
      <c r="V44" t="s">
        <v>80</v>
      </c>
      <c r="W44" t="s">
        <v>78</v>
      </c>
      <c r="X44" t="s">
        <v>81</v>
      </c>
      <c r="Y44">
        <v>10.5</v>
      </c>
      <c r="Z44">
        <v>6</v>
      </c>
      <c r="AA44" t="s">
        <v>82</v>
      </c>
      <c r="AB44" t="s">
        <v>83</v>
      </c>
      <c r="AC44">
        <v>5.5</v>
      </c>
      <c r="AD44">
        <v>8</v>
      </c>
      <c r="AE44">
        <v>4</v>
      </c>
      <c r="AF44">
        <v>7</v>
      </c>
      <c r="AG44">
        <v>8</v>
      </c>
      <c r="AH44">
        <v>8</v>
      </c>
      <c r="AI44" t="s">
        <v>80</v>
      </c>
      <c r="AJ44" t="s">
        <v>80</v>
      </c>
      <c r="AK44">
        <v>10</v>
      </c>
      <c r="AL44">
        <v>22</v>
      </c>
      <c r="AM44" t="s">
        <v>84</v>
      </c>
      <c r="AN44" t="s">
        <v>80</v>
      </c>
      <c r="AO44" t="s">
        <v>80</v>
      </c>
      <c r="AP44" t="s">
        <v>80</v>
      </c>
      <c r="AQ44">
        <v>4</v>
      </c>
      <c r="AR44">
        <v>4</v>
      </c>
      <c r="AS44">
        <v>4</v>
      </c>
      <c r="AT44" t="s">
        <v>85</v>
      </c>
      <c r="AU44">
        <v>12</v>
      </c>
      <c r="AV44" t="s">
        <v>80</v>
      </c>
      <c r="AW44" t="s">
        <v>80</v>
      </c>
      <c r="AX44">
        <v>7</v>
      </c>
      <c r="AY44" t="s">
        <v>78</v>
      </c>
      <c r="AZ44" t="s">
        <v>80</v>
      </c>
      <c r="BA44">
        <v>8</v>
      </c>
      <c r="BB44">
        <v>8</v>
      </c>
      <c r="BC44" t="s">
        <v>80</v>
      </c>
      <c r="BD44">
        <v>9</v>
      </c>
      <c r="BE44">
        <v>2</v>
      </c>
      <c r="BF44">
        <v>4</v>
      </c>
      <c r="BG44" t="s">
        <v>152</v>
      </c>
      <c r="BH44" t="s">
        <v>104</v>
      </c>
      <c r="BI44">
        <v>7.8</v>
      </c>
      <c r="BJ44">
        <v>8.1999999999999993</v>
      </c>
      <c r="BK44">
        <v>2.9</v>
      </c>
      <c r="BL44">
        <v>8.6999999999999993</v>
      </c>
    </row>
    <row r="45" spans="1:64" x14ac:dyDescent="0.25">
      <c r="A45" t="s">
        <v>230</v>
      </c>
      <c r="B45">
        <v>17</v>
      </c>
      <c r="C45" t="s">
        <v>65</v>
      </c>
      <c r="D45" t="s">
        <v>89</v>
      </c>
      <c r="E45" t="s">
        <v>107</v>
      </c>
      <c r="F45" t="s">
        <v>141</v>
      </c>
      <c r="G45" t="s">
        <v>142</v>
      </c>
      <c r="H45" t="s">
        <v>70</v>
      </c>
      <c r="I45" t="s">
        <v>71</v>
      </c>
      <c r="J45" t="s">
        <v>72</v>
      </c>
      <c r="K45" t="s">
        <v>73</v>
      </c>
      <c r="L45">
        <v>6.5</v>
      </c>
      <c r="M45">
        <v>4</v>
      </c>
      <c r="N45" t="s">
        <v>75</v>
      </c>
      <c r="O45" t="s">
        <v>93</v>
      </c>
      <c r="P45" t="s">
        <v>76</v>
      </c>
      <c r="Q45" t="s">
        <v>77</v>
      </c>
      <c r="R45" t="s">
        <v>78</v>
      </c>
      <c r="S45" t="s">
        <v>102</v>
      </c>
      <c r="T45" t="s">
        <v>102</v>
      </c>
      <c r="U45" t="s">
        <v>80</v>
      </c>
      <c r="V45" t="s">
        <v>80</v>
      </c>
      <c r="W45" t="s">
        <v>78</v>
      </c>
      <c r="X45" t="s">
        <v>112</v>
      </c>
      <c r="Y45">
        <v>10.5</v>
      </c>
      <c r="Z45">
        <v>6</v>
      </c>
      <c r="AA45" t="s">
        <v>82</v>
      </c>
      <c r="AB45" t="s">
        <v>103</v>
      </c>
      <c r="AC45">
        <v>6</v>
      </c>
      <c r="AD45">
        <v>8</v>
      </c>
      <c r="AE45">
        <v>4</v>
      </c>
      <c r="AF45">
        <v>7</v>
      </c>
      <c r="AG45">
        <v>6</v>
      </c>
      <c r="AH45">
        <v>6</v>
      </c>
      <c r="AI45" t="s">
        <v>80</v>
      </c>
      <c r="AJ45" t="s">
        <v>80</v>
      </c>
      <c r="AK45">
        <v>10</v>
      </c>
      <c r="AL45">
        <v>22</v>
      </c>
      <c r="AM45" t="s">
        <v>84</v>
      </c>
      <c r="AN45" t="s">
        <v>80</v>
      </c>
      <c r="AO45" t="s">
        <v>80</v>
      </c>
      <c r="AP45" t="s">
        <v>80</v>
      </c>
      <c r="AQ45">
        <v>4</v>
      </c>
      <c r="AR45">
        <v>3</v>
      </c>
      <c r="AS45">
        <v>4</v>
      </c>
      <c r="AT45" t="s">
        <v>85</v>
      </c>
      <c r="AU45">
        <v>12</v>
      </c>
      <c r="AV45" t="s">
        <v>80</v>
      </c>
      <c r="AW45" t="s">
        <v>80</v>
      </c>
      <c r="AX45">
        <v>7</v>
      </c>
      <c r="AY45" t="s">
        <v>78</v>
      </c>
      <c r="AZ45" t="s">
        <v>80</v>
      </c>
      <c r="BA45">
        <v>8</v>
      </c>
      <c r="BB45">
        <v>7</v>
      </c>
      <c r="BC45" t="s">
        <v>80</v>
      </c>
      <c r="BD45">
        <v>8</v>
      </c>
      <c r="BE45">
        <v>2</v>
      </c>
      <c r="BF45">
        <v>5</v>
      </c>
      <c r="BG45" t="s">
        <v>86</v>
      </c>
      <c r="BH45" t="s">
        <v>104</v>
      </c>
      <c r="BI45">
        <v>7.9</v>
      </c>
      <c r="BJ45">
        <v>8.3000000000000007</v>
      </c>
      <c r="BK45">
        <v>2.8</v>
      </c>
      <c r="BL45">
        <v>8.8000000000000007</v>
      </c>
    </row>
    <row r="46" spans="1:64" x14ac:dyDescent="0.25">
      <c r="A46" t="s">
        <v>231</v>
      </c>
      <c r="B46">
        <v>24</v>
      </c>
      <c r="C46" t="s">
        <v>154</v>
      </c>
      <c r="D46" t="s">
        <v>66</v>
      </c>
      <c r="E46" t="s">
        <v>67</v>
      </c>
      <c r="F46" t="s">
        <v>68</v>
      </c>
      <c r="G46" t="s">
        <v>69</v>
      </c>
      <c r="H46" t="s">
        <v>124</v>
      </c>
      <c r="I46" t="s">
        <v>166</v>
      </c>
      <c r="J46" t="s">
        <v>167</v>
      </c>
      <c r="K46" t="s">
        <v>143</v>
      </c>
      <c r="L46">
        <v>5</v>
      </c>
      <c r="M46">
        <v>6</v>
      </c>
      <c r="N46" t="s">
        <v>74</v>
      </c>
      <c r="O46" t="s">
        <v>75</v>
      </c>
      <c r="P46" t="s">
        <v>100</v>
      </c>
      <c r="Q46" t="s">
        <v>101</v>
      </c>
      <c r="R46" t="s">
        <v>111</v>
      </c>
      <c r="S46" t="s">
        <v>111</v>
      </c>
      <c r="T46" t="s">
        <v>111</v>
      </c>
      <c r="U46" t="s">
        <v>80</v>
      </c>
      <c r="V46" t="s">
        <v>80</v>
      </c>
      <c r="W46" t="s">
        <v>102</v>
      </c>
      <c r="X46" t="s">
        <v>125</v>
      </c>
      <c r="Y46">
        <v>8.5</v>
      </c>
      <c r="Z46">
        <v>7.5</v>
      </c>
      <c r="AA46" t="s">
        <v>126</v>
      </c>
      <c r="AB46" t="s">
        <v>103</v>
      </c>
      <c r="AC46">
        <v>8</v>
      </c>
      <c r="AD46">
        <v>6</v>
      </c>
      <c r="AE46">
        <v>3</v>
      </c>
      <c r="AF46">
        <v>6</v>
      </c>
      <c r="AG46">
        <v>6</v>
      </c>
      <c r="AH46">
        <v>5</v>
      </c>
      <c r="AI46" t="s">
        <v>80</v>
      </c>
      <c r="AJ46" t="s">
        <v>111</v>
      </c>
      <c r="AK46">
        <v>18</v>
      </c>
      <c r="AL46">
        <v>44</v>
      </c>
      <c r="AM46" t="s">
        <v>131</v>
      </c>
      <c r="AN46" t="s">
        <v>111</v>
      </c>
      <c r="AO46" t="s">
        <v>111</v>
      </c>
      <c r="AP46" t="s">
        <v>111</v>
      </c>
      <c r="AQ46">
        <v>5</v>
      </c>
      <c r="AR46">
        <v>5</v>
      </c>
      <c r="AS46">
        <v>5</v>
      </c>
      <c r="AT46" t="s">
        <v>131</v>
      </c>
      <c r="AU46">
        <v>24</v>
      </c>
      <c r="AV46" t="s">
        <v>80</v>
      </c>
      <c r="AW46" t="s">
        <v>111</v>
      </c>
      <c r="AX46">
        <v>5</v>
      </c>
      <c r="AY46" t="s">
        <v>102</v>
      </c>
      <c r="AZ46" t="s">
        <v>111</v>
      </c>
      <c r="BA46">
        <v>5</v>
      </c>
      <c r="BB46">
        <v>6</v>
      </c>
      <c r="BC46" t="s">
        <v>111</v>
      </c>
      <c r="BD46">
        <v>5</v>
      </c>
      <c r="BE46">
        <v>4</v>
      </c>
      <c r="BF46">
        <v>14</v>
      </c>
      <c r="BG46" t="s">
        <v>152</v>
      </c>
      <c r="BH46" t="s">
        <v>171</v>
      </c>
      <c r="BI46">
        <v>5.2</v>
      </c>
      <c r="BJ46">
        <v>5.8</v>
      </c>
      <c r="BK46">
        <v>5</v>
      </c>
      <c r="BL46">
        <v>6.2</v>
      </c>
    </row>
    <row r="47" spans="1:64" x14ac:dyDescent="0.25">
      <c r="A47" t="s">
        <v>232</v>
      </c>
      <c r="B47">
        <v>20</v>
      </c>
      <c r="C47" t="s">
        <v>106</v>
      </c>
      <c r="D47" t="s">
        <v>89</v>
      </c>
      <c r="E47" t="s">
        <v>90</v>
      </c>
      <c r="F47" t="s">
        <v>233</v>
      </c>
      <c r="G47" t="s">
        <v>234</v>
      </c>
      <c r="H47" t="s">
        <v>124</v>
      </c>
      <c r="I47" t="s">
        <v>71</v>
      </c>
      <c r="J47" t="s">
        <v>72</v>
      </c>
      <c r="K47" t="s">
        <v>73</v>
      </c>
      <c r="L47">
        <v>6</v>
      </c>
      <c r="M47">
        <v>4</v>
      </c>
      <c r="N47" t="s">
        <v>75</v>
      </c>
      <c r="O47" t="s">
        <v>93</v>
      </c>
      <c r="P47" t="s">
        <v>100</v>
      </c>
      <c r="Q47" t="s">
        <v>101</v>
      </c>
      <c r="R47" t="s">
        <v>78</v>
      </c>
      <c r="S47" t="s">
        <v>102</v>
      </c>
      <c r="T47" t="s">
        <v>111</v>
      </c>
      <c r="U47" t="s">
        <v>80</v>
      </c>
      <c r="V47" t="s">
        <v>80</v>
      </c>
      <c r="W47" t="s">
        <v>78</v>
      </c>
      <c r="X47" t="s">
        <v>81</v>
      </c>
      <c r="Y47">
        <v>10</v>
      </c>
      <c r="Z47">
        <v>6.5</v>
      </c>
      <c r="AA47" t="s">
        <v>126</v>
      </c>
      <c r="AB47" t="s">
        <v>103</v>
      </c>
      <c r="AC47">
        <v>6</v>
      </c>
      <c r="AD47">
        <v>7</v>
      </c>
      <c r="AE47">
        <v>4</v>
      </c>
      <c r="AF47">
        <v>6</v>
      </c>
      <c r="AG47">
        <v>6</v>
      </c>
      <c r="AH47">
        <v>6</v>
      </c>
      <c r="AI47" t="s">
        <v>80</v>
      </c>
      <c r="AJ47" t="s">
        <v>80</v>
      </c>
      <c r="AK47">
        <v>12</v>
      </c>
      <c r="AL47">
        <v>28</v>
      </c>
      <c r="AM47" t="s">
        <v>84</v>
      </c>
      <c r="AN47" t="s">
        <v>80</v>
      </c>
      <c r="AO47" t="s">
        <v>80</v>
      </c>
      <c r="AP47" t="s">
        <v>111</v>
      </c>
      <c r="AQ47">
        <v>4</v>
      </c>
      <c r="AR47">
        <v>4</v>
      </c>
      <c r="AS47">
        <v>4</v>
      </c>
      <c r="AT47" t="s">
        <v>85</v>
      </c>
      <c r="AU47">
        <v>14</v>
      </c>
      <c r="AV47" t="s">
        <v>80</v>
      </c>
      <c r="AW47" t="s">
        <v>80</v>
      </c>
      <c r="AX47">
        <v>6</v>
      </c>
      <c r="AY47" t="s">
        <v>78</v>
      </c>
      <c r="AZ47" t="s">
        <v>80</v>
      </c>
      <c r="BA47">
        <v>7</v>
      </c>
      <c r="BB47">
        <v>7</v>
      </c>
      <c r="BC47" t="s">
        <v>80</v>
      </c>
      <c r="BD47">
        <v>7</v>
      </c>
      <c r="BE47">
        <v>2</v>
      </c>
      <c r="BF47">
        <v>6</v>
      </c>
      <c r="BG47" t="s">
        <v>86</v>
      </c>
      <c r="BH47" t="s">
        <v>104</v>
      </c>
      <c r="BI47">
        <v>7.2</v>
      </c>
      <c r="BJ47">
        <v>7.7</v>
      </c>
      <c r="BK47">
        <v>3.5</v>
      </c>
      <c r="BL47">
        <v>8.1</v>
      </c>
    </row>
    <row r="48" spans="1:64" x14ac:dyDescent="0.25">
      <c r="A48" t="s">
        <v>235</v>
      </c>
      <c r="B48">
        <v>16</v>
      </c>
      <c r="C48" t="s">
        <v>65</v>
      </c>
      <c r="D48" t="s">
        <v>66</v>
      </c>
      <c r="E48" t="s">
        <v>107</v>
      </c>
      <c r="F48" t="s">
        <v>160</v>
      </c>
      <c r="G48" t="s">
        <v>161</v>
      </c>
      <c r="H48" t="s">
        <v>70</v>
      </c>
      <c r="I48" t="s">
        <v>71</v>
      </c>
      <c r="J48" t="s">
        <v>72</v>
      </c>
      <c r="K48" t="s">
        <v>73</v>
      </c>
      <c r="L48">
        <v>7.5</v>
      </c>
      <c r="M48">
        <v>4</v>
      </c>
      <c r="N48" t="s">
        <v>74</v>
      </c>
      <c r="O48" t="s">
        <v>93</v>
      </c>
      <c r="P48" t="s">
        <v>76</v>
      </c>
      <c r="Q48" t="s">
        <v>77</v>
      </c>
      <c r="R48" t="s">
        <v>78</v>
      </c>
      <c r="S48" t="s">
        <v>79</v>
      </c>
      <c r="T48" t="s">
        <v>79</v>
      </c>
      <c r="U48" t="s">
        <v>80</v>
      </c>
      <c r="V48" t="s">
        <v>80</v>
      </c>
      <c r="W48" t="s">
        <v>78</v>
      </c>
      <c r="X48" t="s">
        <v>81</v>
      </c>
      <c r="Y48">
        <v>11.5</v>
      </c>
      <c r="Z48">
        <v>5.5</v>
      </c>
      <c r="AA48" t="s">
        <v>82</v>
      </c>
      <c r="AB48" t="s">
        <v>83</v>
      </c>
      <c r="AC48">
        <v>6</v>
      </c>
      <c r="AD48">
        <v>9</v>
      </c>
      <c r="AE48">
        <v>5</v>
      </c>
      <c r="AF48">
        <v>8</v>
      </c>
      <c r="AG48">
        <v>8</v>
      </c>
      <c r="AH48">
        <v>8</v>
      </c>
      <c r="AI48" t="s">
        <v>80</v>
      </c>
      <c r="AJ48" t="s">
        <v>80</v>
      </c>
      <c r="AK48">
        <v>8</v>
      </c>
      <c r="AL48">
        <v>17</v>
      </c>
      <c r="AM48" t="s">
        <v>84</v>
      </c>
      <c r="AN48" t="s">
        <v>80</v>
      </c>
      <c r="AO48" t="s">
        <v>80</v>
      </c>
      <c r="AP48" t="s">
        <v>80</v>
      </c>
      <c r="AQ48">
        <v>3</v>
      </c>
      <c r="AR48">
        <v>3</v>
      </c>
      <c r="AS48">
        <v>3</v>
      </c>
      <c r="AT48" t="s">
        <v>85</v>
      </c>
      <c r="AU48">
        <v>9</v>
      </c>
      <c r="AV48" t="s">
        <v>80</v>
      </c>
      <c r="AW48" t="s">
        <v>80</v>
      </c>
      <c r="AX48">
        <v>8</v>
      </c>
      <c r="AY48" t="s">
        <v>78</v>
      </c>
      <c r="AZ48" t="s">
        <v>80</v>
      </c>
      <c r="BA48">
        <v>9</v>
      </c>
      <c r="BB48">
        <v>9</v>
      </c>
      <c r="BC48" t="s">
        <v>80</v>
      </c>
      <c r="BD48">
        <v>9</v>
      </c>
      <c r="BE48">
        <v>2</v>
      </c>
      <c r="BF48">
        <v>3</v>
      </c>
      <c r="BG48" t="s">
        <v>136</v>
      </c>
      <c r="BH48" t="s">
        <v>87</v>
      </c>
      <c r="BI48">
        <v>9.1999999999999993</v>
      </c>
      <c r="BJ48">
        <v>9.5</v>
      </c>
      <c r="BK48">
        <v>2</v>
      </c>
      <c r="BL48">
        <v>9.6999999999999993</v>
      </c>
    </row>
    <row r="49" spans="1:64" x14ac:dyDescent="0.25">
      <c r="A49" t="s">
        <v>236</v>
      </c>
      <c r="B49">
        <v>22</v>
      </c>
      <c r="C49" t="s">
        <v>106</v>
      </c>
      <c r="D49" t="s">
        <v>89</v>
      </c>
      <c r="E49" t="s">
        <v>97</v>
      </c>
      <c r="F49" t="s">
        <v>237</v>
      </c>
      <c r="G49" t="s">
        <v>238</v>
      </c>
      <c r="H49" t="s">
        <v>124</v>
      </c>
      <c r="I49" t="s">
        <v>71</v>
      </c>
      <c r="J49" t="s">
        <v>72</v>
      </c>
      <c r="K49" t="s">
        <v>73</v>
      </c>
      <c r="L49">
        <v>5.5</v>
      </c>
      <c r="M49">
        <v>3</v>
      </c>
      <c r="N49" t="s">
        <v>75</v>
      </c>
      <c r="O49" t="s">
        <v>135</v>
      </c>
      <c r="P49" t="s">
        <v>100</v>
      </c>
      <c r="Q49" t="s">
        <v>101</v>
      </c>
      <c r="R49" t="s">
        <v>102</v>
      </c>
      <c r="S49" t="s">
        <v>102</v>
      </c>
      <c r="T49" t="s">
        <v>111</v>
      </c>
      <c r="U49" t="s">
        <v>80</v>
      </c>
      <c r="V49" t="s">
        <v>80</v>
      </c>
      <c r="W49" t="s">
        <v>102</v>
      </c>
      <c r="X49" t="s">
        <v>155</v>
      </c>
      <c r="Y49">
        <v>9</v>
      </c>
      <c r="Z49">
        <v>7</v>
      </c>
      <c r="AA49" t="s">
        <v>126</v>
      </c>
      <c r="AB49" t="s">
        <v>103</v>
      </c>
      <c r="AC49">
        <v>6.5</v>
      </c>
      <c r="AD49">
        <v>6</v>
      </c>
      <c r="AE49">
        <v>3</v>
      </c>
      <c r="AF49">
        <v>5</v>
      </c>
      <c r="AG49">
        <v>5</v>
      </c>
      <c r="AH49">
        <v>4</v>
      </c>
      <c r="AI49" t="s">
        <v>80</v>
      </c>
      <c r="AJ49" t="s">
        <v>111</v>
      </c>
      <c r="AK49">
        <v>16</v>
      </c>
      <c r="AL49">
        <v>38</v>
      </c>
      <c r="AM49" t="s">
        <v>131</v>
      </c>
      <c r="AN49" t="s">
        <v>111</v>
      </c>
      <c r="AO49" t="s">
        <v>111</v>
      </c>
      <c r="AP49" t="s">
        <v>111</v>
      </c>
      <c r="AQ49">
        <v>5</v>
      </c>
      <c r="AR49">
        <v>4</v>
      </c>
      <c r="AS49">
        <v>5</v>
      </c>
      <c r="AT49" t="s">
        <v>131</v>
      </c>
      <c r="AU49">
        <v>20</v>
      </c>
      <c r="AV49" t="s">
        <v>80</v>
      </c>
      <c r="AW49" t="s">
        <v>111</v>
      </c>
      <c r="AX49">
        <v>5</v>
      </c>
      <c r="AY49" t="s">
        <v>102</v>
      </c>
      <c r="AZ49" t="s">
        <v>111</v>
      </c>
      <c r="BA49">
        <v>6</v>
      </c>
      <c r="BB49">
        <v>5</v>
      </c>
      <c r="BC49" t="s">
        <v>111</v>
      </c>
      <c r="BD49">
        <v>5</v>
      </c>
      <c r="BE49">
        <v>3</v>
      </c>
      <c r="BF49">
        <v>10</v>
      </c>
      <c r="BG49" t="s">
        <v>86</v>
      </c>
      <c r="BH49" t="s">
        <v>171</v>
      </c>
      <c r="BI49">
        <v>5.5</v>
      </c>
      <c r="BJ49">
        <v>6</v>
      </c>
      <c r="BK49">
        <v>4.8</v>
      </c>
      <c r="BL49">
        <v>6.5</v>
      </c>
    </row>
    <row r="50" spans="1:64" x14ac:dyDescent="0.25">
      <c r="A50" t="s">
        <v>239</v>
      </c>
      <c r="B50">
        <v>25</v>
      </c>
      <c r="C50" t="s">
        <v>154</v>
      </c>
      <c r="D50" t="s">
        <v>66</v>
      </c>
      <c r="E50" t="s">
        <v>90</v>
      </c>
      <c r="F50" t="s">
        <v>240</v>
      </c>
      <c r="G50" t="s">
        <v>241</v>
      </c>
      <c r="H50" t="s">
        <v>124</v>
      </c>
      <c r="I50" t="s">
        <v>166</v>
      </c>
      <c r="J50" t="s">
        <v>242</v>
      </c>
      <c r="K50" t="s">
        <v>73</v>
      </c>
      <c r="L50">
        <v>5</v>
      </c>
      <c r="M50">
        <v>6</v>
      </c>
      <c r="N50" t="s">
        <v>74</v>
      </c>
      <c r="O50" t="s">
        <v>93</v>
      </c>
      <c r="P50" t="s">
        <v>100</v>
      </c>
      <c r="Q50" t="s">
        <v>101</v>
      </c>
      <c r="R50" t="s">
        <v>111</v>
      </c>
      <c r="S50" t="s">
        <v>111</v>
      </c>
      <c r="T50" t="s">
        <v>111</v>
      </c>
      <c r="U50" t="s">
        <v>80</v>
      </c>
      <c r="V50" t="s">
        <v>80</v>
      </c>
      <c r="W50" t="s">
        <v>102</v>
      </c>
      <c r="X50" t="s">
        <v>125</v>
      </c>
      <c r="Y50">
        <v>8.5</v>
      </c>
      <c r="Z50">
        <v>7.5</v>
      </c>
      <c r="AA50" t="s">
        <v>126</v>
      </c>
      <c r="AB50" t="s">
        <v>103</v>
      </c>
      <c r="AC50">
        <v>8.5</v>
      </c>
      <c r="AD50">
        <v>6</v>
      </c>
      <c r="AE50">
        <v>3</v>
      </c>
      <c r="AF50">
        <v>6</v>
      </c>
      <c r="AG50">
        <v>6</v>
      </c>
      <c r="AH50">
        <v>5</v>
      </c>
      <c r="AI50" t="s">
        <v>80</v>
      </c>
      <c r="AJ50" t="s">
        <v>111</v>
      </c>
      <c r="AK50">
        <v>20</v>
      </c>
      <c r="AL50">
        <v>48</v>
      </c>
      <c r="AM50" t="s">
        <v>131</v>
      </c>
      <c r="AN50" t="s">
        <v>111</v>
      </c>
      <c r="AO50" t="s">
        <v>111</v>
      </c>
      <c r="AP50" t="s">
        <v>111</v>
      </c>
      <c r="AQ50">
        <v>5</v>
      </c>
      <c r="AR50">
        <v>5</v>
      </c>
      <c r="AS50">
        <v>5</v>
      </c>
      <c r="AT50" t="s">
        <v>131</v>
      </c>
      <c r="AU50">
        <v>26</v>
      </c>
      <c r="AV50" t="s">
        <v>80</v>
      </c>
      <c r="AW50" t="s">
        <v>111</v>
      </c>
      <c r="AX50">
        <v>5</v>
      </c>
      <c r="AY50" t="s">
        <v>102</v>
      </c>
      <c r="AZ50" t="s">
        <v>111</v>
      </c>
      <c r="BA50">
        <v>5</v>
      </c>
      <c r="BB50">
        <v>6</v>
      </c>
      <c r="BC50" t="s">
        <v>111</v>
      </c>
      <c r="BD50">
        <v>5</v>
      </c>
      <c r="BE50">
        <v>4</v>
      </c>
      <c r="BF50">
        <v>15</v>
      </c>
      <c r="BG50" t="s">
        <v>152</v>
      </c>
      <c r="BH50" t="s">
        <v>171</v>
      </c>
      <c r="BI50">
        <v>5</v>
      </c>
      <c r="BJ50">
        <v>5.6</v>
      </c>
      <c r="BK50">
        <v>5.0999999999999996</v>
      </c>
      <c r="BL50">
        <v>6</v>
      </c>
    </row>
    <row r="51" spans="1:64" x14ac:dyDescent="0.25">
      <c r="A51" t="s">
        <v>243</v>
      </c>
      <c r="B51">
        <v>18</v>
      </c>
      <c r="C51" t="s">
        <v>106</v>
      </c>
      <c r="D51" t="s">
        <v>89</v>
      </c>
      <c r="E51" t="s">
        <v>114</v>
      </c>
      <c r="F51" t="s">
        <v>244</v>
      </c>
      <c r="G51" t="s">
        <v>245</v>
      </c>
      <c r="H51" t="s">
        <v>70</v>
      </c>
      <c r="I51" t="s">
        <v>71</v>
      </c>
      <c r="J51" t="s">
        <v>72</v>
      </c>
      <c r="K51" t="s">
        <v>73</v>
      </c>
      <c r="L51">
        <v>6</v>
      </c>
      <c r="M51">
        <v>3</v>
      </c>
      <c r="N51" t="s">
        <v>93</v>
      </c>
      <c r="O51" t="s">
        <v>75</v>
      </c>
      <c r="P51" t="s">
        <v>76</v>
      </c>
      <c r="Q51" t="s">
        <v>77</v>
      </c>
      <c r="R51" t="s">
        <v>78</v>
      </c>
      <c r="S51" t="s">
        <v>102</v>
      </c>
      <c r="T51" t="s">
        <v>102</v>
      </c>
      <c r="U51" t="s">
        <v>80</v>
      </c>
      <c r="V51" t="s">
        <v>80</v>
      </c>
      <c r="W51" t="s">
        <v>78</v>
      </c>
      <c r="X51" t="s">
        <v>81</v>
      </c>
      <c r="Y51">
        <v>10</v>
      </c>
      <c r="Z51">
        <v>6</v>
      </c>
      <c r="AA51" t="s">
        <v>82</v>
      </c>
      <c r="AB51" t="s">
        <v>83</v>
      </c>
      <c r="AC51">
        <v>6</v>
      </c>
      <c r="AD51">
        <v>8</v>
      </c>
      <c r="AE51">
        <v>4</v>
      </c>
      <c r="AF51">
        <v>7</v>
      </c>
      <c r="AG51">
        <v>6</v>
      </c>
      <c r="AH51">
        <v>7</v>
      </c>
      <c r="AI51" t="s">
        <v>80</v>
      </c>
      <c r="AJ51" t="s">
        <v>80</v>
      </c>
      <c r="AK51">
        <v>10</v>
      </c>
      <c r="AL51">
        <v>22</v>
      </c>
      <c r="AM51" t="s">
        <v>84</v>
      </c>
      <c r="AN51" t="s">
        <v>80</v>
      </c>
      <c r="AO51" t="s">
        <v>80</v>
      </c>
      <c r="AP51" t="s">
        <v>80</v>
      </c>
      <c r="AQ51">
        <v>4</v>
      </c>
      <c r="AR51">
        <v>3</v>
      </c>
      <c r="AS51">
        <v>4</v>
      </c>
      <c r="AT51" t="s">
        <v>85</v>
      </c>
      <c r="AU51">
        <v>12</v>
      </c>
      <c r="AV51" t="s">
        <v>80</v>
      </c>
      <c r="AW51" t="s">
        <v>80</v>
      </c>
      <c r="AX51">
        <v>7</v>
      </c>
      <c r="AY51" t="s">
        <v>78</v>
      </c>
      <c r="AZ51" t="s">
        <v>80</v>
      </c>
      <c r="BA51">
        <v>8</v>
      </c>
      <c r="BB51">
        <v>8</v>
      </c>
      <c r="BC51" t="s">
        <v>80</v>
      </c>
      <c r="BD51">
        <v>8</v>
      </c>
      <c r="BE51">
        <v>2</v>
      </c>
      <c r="BF51">
        <v>4</v>
      </c>
      <c r="BG51" t="s">
        <v>86</v>
      </c>
      <c r="BH51" t="s">
        <v>104</v>
      </c>
      <c r="BI51">
        <v>7.9</v>
      </c>
      <c r="BJ51">
        <v>8.3000000000000007</v>
      </c>
      <c r="BK51">
        <v>2.8</v>
      </c>
      <c r="BL51">
        <v>8.8000000000000007</v>
      </c>
    </row>
    <row r="52" spans="1:64" x14ac:dyDescent="0.25">
      <c r="A52" t="s">
        <v>246</v>
      </c>
      <c r="B52">
        <v>21</v>
      </c>
      <c r="C52" t="s">
        <v>106</v>
      </c>
      <c r="D52" t="s">
        <v>66</v>
      </c>
      <c r="E52" t="s">
        <v>149</v>
      </c>
      <c r="F52" t="s">
        <v>247</v>
      </c>
      <c r="G52" t="s">
        <v>248</v>
      </c>
      <c r="H52" t="s">
        <v>124</v>
      </c>
      <c r="I52" t="s">
        <v>71</v>
      </c>
      <c r="J52" t="s">
        <v>72</v>
      </c>
      <c r="K52" t="s">
        <v>73</v>
      </c>
      <c r="L52">
        <v>6.5</v>
      </c>
      <c r="M52">
        <v>5</v>
      </c>
      <c r="N52" t="s">
        <v>74</v>
      </c>
      <c r="O52" t="s">
        <v>93</v>
      </c>
      <c r="P52" t="s">
        <v>76</v>
      </c>
      <c r="Q52" t="s">
        <v>77</v>
      </c>
      <c r="R52" t="s">
        <v>78</v>
      </c>
      <c r="S52" t="s">
        <v>79</v>
      </c>
      <c r="T52" t="s">
        <v>102</v>
      </c>
      <c r="U52" t="s">
        <v>80</v>
      </c>
      <c r="V52" t="s">
        <v>80</v>
      </c>
      <c r="W52" t="s">
        <v>78</v>
      </c>
      <c r="X52" t="s">
        <v>125</v>
      </c>
      <c r="Y52">
        <v>10.5</v>
      </c>
      <c r="Z52">
        <v>6</v>
      </c>
      <c r="AA52" t="s">
        <v>82</v>
      </c>
      <c r="AB52" t="s">
        <v>103</v>
      </c>
      <c r="AC52">
        <v>5.5</v>
      </c>
      <c r="AD52">
        <v>8</v>
      </c>
      <c r="AE52">
        <v>4</v>
      </c>
      <c r="AF52">
        <v>7</v>
      </c>
      <c r="AG52">
        <v>8</v>
      </c>
      <c r="AH52">
        <v>8</v>
      </c>
      <c r="AI52" t="s">
        <v>80</v>
      </c>
      <c r="AJ52" t="s">
        <v>80</v>
      </c>
      <c r="AK52">
        <v>10</v>
      </c>
      <c r="AL52">
        <v>22</v>
      </c>
      <c r="AM52" t="s">
        <v>84</v>
      </c>
      <c r="AN52" t="s">
        <v>80</v>
      </c>
      <c r="AO52" t="s">
        <v>80</v>
      </c>
      <c r="AP52" t="s">
        <v>80</v>
      </c>
      <c r="AQ52">
        <v>4</v>
      </c>
      <c r="AR52">
        <v>4</v>
      </c>
      <c r="AS52">
        <v>4</v>
      </c>
      <c r="AT52" t="s">
        <v>85</v>
      </c>
      <c r="AU52">
        <v>12</v>
      </c>
      <c r="AV52" t="s">
        <v>80</v>
      </c>
      <c r="AW52" t="s">
        <v>80</v>
      </c>
      <c r="AX52">
        <v>7</v>
      </c>
      <c r="AY52" t="s">
        <v>78</v>
      </c>
      <c r="AZ52" t="s">
        <v>80</v>
      </c>
      <c r="BA52">
        <v>8</v>
      </c>
      <c r="BB52">
        <v>8</v>
      </c>
      <c r="BC52" t="s">
        <v>80</v>
      </c>
      <c r="BD52">
        <v>9</v>
      </c>
      <c r="BE52">
        <v>2</v>
      </c>
      <c r="BF52">
        <v>5</v>
      </c>
      <c r="BG52" t="s">
        <v>152</v>
      </c>
      <c r="BH52" t="s">
        <v>104</v>
      </c>
      <c r="BI52">
        <v>7.8</v>
      </c>
      <c r="BJ52">
        <v>8.1999999999999993</v>
      </c>
      <c r="BK52">
        <v>2.9</v>
      </c>
      <c r="BL52">
        <v>8.6999999999999993</v>
      </c>
    </row>
    <row r="53" spans="1:64" x14ac:dyDescent="0.25">
      <c r="A53" t="s">
        <v>249</v>
      </c>
      <c r="B53">
        <v>23</v>
      </c>
      <c r="C53" t="s">
        <v>154</v>
      </c>
      <c r="D53" t="s">
        <v>89</v>
      </c>
      <c r="E53" t="s">
        <v>107</v>
      </c>
      <c r="F53" t="s">
        <v>108</v>
      </c>
      <c r="G53" t="s">
        <v>109</v>
      </c>
      <c r="H53" t="s">
        <v>124</v>
      </c>
      <c r="I53" t="s">
        <v>178</v>
      </c>
      <c r="J53" t="s">
        <v>250</v>
      </c>
      <c r="K53" t="s">
        <v>143</v>
      </c>
      <c r="L53">
        <v>4.5</v>
      </c>
      <c r="M53">
        <v>5</v>
      </c>
      <c r="N53" t="s">
        <v>75</v>
      </c>
      <c r="O53" t="s">
        <v>110</v>
      </c>
      <c r="P53" t="s">
        <v>100</v>
      </c>
      <c r="Q53" t="s">
        <v>101</v>
      </c>
      <c r="R53" t="s">
        <v>111</v>
      </c>
      <c r="S53" t="s">
        <v>111</v>
      </c>
      <c r="T53" t="s">
        <v>111</v>
      </c>
      <c r="U53" t="s">
        <v>80</v>
      </c>
      <c r="V53" t="s">
        <v>80</v>
      </c>
      <c r="W53" t="s">
        <v>102</v>
      </c>
      <c r="X53" t="s">
        <v>112</v>
      </c>
      <c r="Y53">
        <v>8.5</v>
      </c>
      <c r="Z53">
        <v>7.5</v>
      </c>
      <c r="AA53" t="s">
        <v>126</v>
      </c>
      <c r="AB53" t="s">
        <v>103</v>
      </c>
      <c r="AC53">
        <v>7.5</v>
      </c>
      <c r="AD53">
        <v>6</v>
      </c>
      <c r="AE53">
        <v>3</v>
      </c>
      <c r="AF53">
        <v>5</v>
      </c>
      <c r="AG53">
        <v>4</v>
      </c>
      <c r="AH53">
        <v>4</v>
      </c>
      <c r="AI53" t="s">
        <v>80</v>
      </c>
      <c r="AJ53" t="s">
        <v>111</v>
      </c>
      <c r="AK53">
        <v>20</v>
      </c>
      <c r="AL53">
        <v>50</v>
      </c>
      <c r="AM53" t="s">
        <v>131</v>
      </c>
      <c r="AN53" t="s">
        <v>111</v>
      </c>
      <c r="AO53" t="s">
        <v>111</v>
      </c>
      <c r="AP53" t="s">
        <v>111</v>
      </c>
      <c r="AQ53">
        <v>5</v>
      </c>
      <c r="AR53">
        <v>5</v>
      </c>
      <c r="AS53">
        <v>5</v>
      </c>
      <c r="AT53" t="s">
        <v>131</v>
      </c>
      <c r="AU53">
        <v>28</v>
      </c>
      <c r="AV53" t="s">
        <v>80</v>
      </c>
      <c r="AW53" t="s">
        <v>111</v>
      </c>
      <c r="AX53">
        <v>4</v>
      </c>
      <c r="AY53" t="s">
        <v>102</v>
      </c>
      <c r="AZ53" t="s">
        <v>111</v>
      </c>
      <c r="BA53">
        <v>5</v>
      </c>
      <c r="BB53">
        <v>4</v>
      </c>
      <c r="BC53" t="s">
        <v>111</v>
      </c>
      <c r="BD53">
        <v>5</v>
      </c>
      <c r="BE53">
        <v>4</v>
      </c>
      <c r="BF53">
        <v>16</v>
      </c>
      <c r="BG53" t="s">
        <v>86</v>
      </c>
      <c r="BH53" t="s">
        <v>171</v>
      </c>
      <c r="BI53">
        <v>5</v>
      </c>
      <c r="BJ53">
        <v>5.5</v>
      </c>
      <c r="BK53">
        <v>5.2</v>
      </c>
      <c r="BL53">
        <v>6</v>
      </c>
    </row>
    <row r="54" spans="1:64" x14ac:dyDescent="0.25">
      <c r="A54" t="s">
        <v>251</v>
      </c>
      <c r="B54">
        <v>19</v>
      </c>
      <c r="C54" t="s">
        <v>106</v>
      </c>
      <c r="D54" t="s">
        <v>66</v>
      </c>
      <c r="E54" t="s">
        <v>67</v>
      </c>
      <c r="F54" t="s">
        <v>133</v>
      </c>
      <c r="G54" t="s">
        <v>134</v>
      </c>
      <c r="H54" t="s">
        <v>70</v>
      </c>
      <c r="I54" t="s">
        <v>71</v>
      </c>
      <c r="J54" t="s">
        <v>72</v>
      </c>
      <c r="K54" t="s">
        <v>73</v>
      </c>
      <c r="L54">
        <v>7.5</v>
      </c>
      <c r="M54">
        <v>4</v>
      </c>
      <c r="N54" t="s">
        <v>93</v>
      </c>
      <c r="O54" t="s">
        <v>74</v>
      </c>
      <c r="P54" t="s">
        <v>76</v>
      </c>
      <c r="Q54" t="s">
        <v>77</v>
      </c>
      <c r="R54" t="s">
        <v>78</v>
      </c>
      <c r="S54" t="s">
        <v>79</v>
      </c>
      <c r="T54" t="s">
        <v>79</v>
      </c>
      <c r="U54" t="s">
        <v>80</v>
      </c>
      <c r="V54" t="s">
        <v>80</v>
      </c>
      <c r="W54" t="s">
        <v>78</v>
      </c>
      <c r="X54" t="s">
        <v>81</v>
      </c>
      <c r="Y54">
        <v>11.5</v>
      </c>
      <c r="Z54">
        <v>5.5</v>
      </c>
      <c r="AA54" t="s">
        <v>82</v>
      </c>
      <c r="AB54" t="s">
        <v>83</v>
      </c>
      <c r="AC54">
        <v>5.5</v>
      </c>
      <c r="AD54">
        <v>9</v>
      </c>
      <c r="AE54">
        <v>5</v>
      </c>
      <c r="AF54">
        <v>8</v>
      </c>
      <c r="AG54">
        <v>8</v>
      </c>
      <c r="AH54">
        <v>9</v>
      </c>
      <c r="AI54" t="s">
        <v>80</v>
      </c>
      <c r="AJ54" t="s">
        <v>80</v>
      </c>
      <c r="AK54">
        <v>8</v>
      </c>
      <c r="AL54">
        <v>17</v>
      </c>
      <c r="AM54" t="s">
        <v>84</v>
      </c>
      <c r="AN54" t="s">
        <v>80</v>
      </c>
      <c r="AO54" t="s">
        <v>80</v>
      </c>
      <c r="AP54" t="s">
        <v>80</v>
      </c>
      <c r="AQ54">
        <v>3</v>
      </c>
      <c r="AR54">
        <v>3</v>
      </c>
      <c r="AS54">
        <v>3</v>
      </c>
      <c r="AT54" t="s">
        <v>85</v>
      </c>
      <c r="AU54">
        <v>9</v>
      </c>
      <c r="AV54" t="s">
        <v>80</v>
      </c>
      <c r="AW54" t="s">
        <v>80</v>
      </c>
      <c r="AX54">
        <v>8</v>
      </c>
      <c r="AY54" t="s">
        <v>78</v>
      </c>
      <c r="AZ54" t="s">
        <v>80</v>
      </c>
      <c r="BA54">
        <v>9</v>
      </c>
      <c r="BB54">
        <v>9</v>
      </c>
      <c r="BC54" t="s">
        <v>80</v>
      </c>
      <c r="BD54">
        <v>10</v>
      </c>
      <c r="BE54">
        <v>2</v>
      </c>
      <c r="BF54">
        <v>3</v>
      </c>
      <c r="BG54" t="s">
        <v>136</v>
      </c>
      <c r="BH54" t="s">
        <v>87</v>
      </c>
      <c r="BI54">
        <v>9.4</v>
      </c>
      <c r="BJ54">
        <v>9.6</v>
      </c>
      <c r="BK54">
        <v>1.8</v>
      </c>
      <c r="BL54">
        <v>9.8000000000000007</v>
      </c>
    </row>
    <row r="55" spans="1:64" x14ac:dyDescent="0.25">
      <c r="A55" t="s">
        <v>252</v>
      </c>
      <c r="B55">
        <v>24</v>
      </c>
      <c r="C55" t="s">
        <v>154</v>
      </c>
      <c r="D55" t="s">
        <v>89</v>
      </c>
      <c r="E55" t="s">
        <v>90</v>
      </c>
      <c r="F55" t="s">
        <v>253</v>
      </c>
      <c r="G55" t="s">
        <v>254</v>
      </c>
      <c r="H55" t="s">
        <v>124</v>
      </c>
      <c r="I55" t="s">
        <v>166</v>
      </c>
      <c r="J55" t="s">
        <v>179</v>
      </c>
      <c r="K55" t="s">
        <v>73</v>
      </c>
      <c r="L55">
        <v>5.5</v>
      </c>
      <c r="M55">
        <v>6</v>
      </c>
      <c r="N55" t="s">
        <v>74</v>
      </c>
      <c r="O55" t="s">
        <v>93</v>
      </c>
      <c r="P55" t="s">
        <v>100</v>
      </c>
      <c r="Q55" t="s">
        <v>101</v>
      </c>
      <c r="R55" t="s">
        <v>111</v>
      </c>
      <c r="S55" t="s">
        <v>111</v>
      </c>
      <c r="T55" t="s">
        <v>111</v>
      </c>
      <c r="U55" t="s">
        <v>80</v>
      </c>
      <c r="V55" t="s">
        <v>80</v>
      </c>
      <c r="W55" t="s">
        <v>102</v>
      </c>
      <c r="X55" t="s">
        <v>255</v>
      </c>
      <c r="Y55">
        <v>8.5</v>
      </c>
      <c r="Z55">
        <v>7.5</v>
      </c>
      <c r="AA55" t="s">
        <v>126</v>
      </c>
      <c r="AB55" t="s">
        <v>103</v>
      </c>
      <c r="AC55">
        <v>8</v>
      </c>
      <c r="AD55">
        <v>6</v>
      </c>
      <c r="AE55">
        <v>3</v>
      </c>
      <c r="AF55">
        <v>5</v>
      </c>
      <c r="AG55">
        <v>5</v>
      </c>
      <c r="AH55">
        <v>4</v>
      </c>
      <c r="AI55" t="s">
        <v>80</v>
      </c>
      <c r="AJ55" t="s">
        <v>111</v>
      </c>
      <c r="AK55">
        <v>20</v>
      </c>
      <c r="AL55">
        <v>48</v>
      </c>
      <c r="AM55" t="s">
        <v>131</v>
      </c>
      <c r="AN55" t="s">
        <v>111</v>
      </c>
      <c r="AO55" t="s">
        <v>111</v>
      </c>
      <c r="AP55" t="s">
        <v>111</v>
      </c>
      <c r="AQ55">
        <v>5</v>
      </c>
      <c r="AR55">
        <v>5</v>
      </c>
      <c r="AS55">
        <v>5</v>
      </c>
      <c r="AT55" t="s">
        <v>131</v>
      </c>
      <c r="AU55">
        <v>26</v>
      </c>
      <c r="AV55" t="s">
        <v>80</v>
      </c>
      <c r="AW55" t="s">
        <v>111</v>
      </c>
      <c r="AX55">
        <v>4</v>
      </c>
      <c r="AY55" t="s">
        <v>102</v>
      </c>
      <c r="AZ55" t="s">
        <v>111</v>
      </c>
      <c r="BA55">
        <v>5</v>
      </c>
      <c r="BB55">
        <v>5</v>
      </c>
      <c r="BC55" t="s">
        <v>111</v>
      </c>
      <c r="BD55">
        <v>5</v>
      </c>
      <c r="BE55">
        <v>4</v>
      </c>
      <c r="BF55">
        <v>14</v>
      </c>
      <c r="BG55" t="s">
        <v>86</v>
      </c>
      <c r="BH55" t="s">
        <v>171</v>
      </c>
      <c r="BI55">
        <v>5.2</v>
      </c>
      <c r="BJ55">
        <v>5.7</v>
      </c>
      <c r="BK55">
        <v>5</v>
      </c>
      <c r="BL55">
        <v>6.1</v>
      </c>
    </row>
    <row r="56" spans="1:64" x14ac:dyDescent="0.25">
      <c r="A56" t="s">
        <v>256</v>
      </c>
      <c r="B56">
        <v>20</v>
      </c>
      <c r="C56" t="s">
        <v>106</v>
      </c>
      <c r="D56" t="s">
        <v>66</v>
      </c>
      <c r="E56" t="s">
        <v>97</v>
      </c>
      <c r="F56" t="s">
        <v>257</v>
      </c>
      <c r="G56" t="s">
        <v>258</v>
      </c>
      <c r="H56" t="s">
        <v>124</v>
      </c>
      <c r="I56" t="s">
        <v>71</v>
      </c>
      <c r="J56" t="s">
        <v>72</v>
      </c>
      <c r="K56" t="s">
        <v>73</v>
      </c>
      <c r="L56">
        <v>5.5</v>
      </c>
      <c r="M56">
        <v>3</v>
      </c>
      <c r="N56" t="s">
        <v>135</v>
      </c>
      <c r="O56" t="s">
        <v>93</v>
      </c>
      <c r="P56" t="s">
        <v>100</v>
      </c>
      <c r="Q56" t="s">
        <v>101</v>
      </c>
      <c r="R56" t="s">
        <v>78</v>
      </c>
      <c r="S56" t="s">
        <v>102</v>
      </c>
      <c r="T56" t="s">
        <v>102</v>
      </c>
      <c r="U56" t="s">
        <v>80</v>
      </c>
      <c r="V56" t="s">
        <v>80</v>
      </c>
      <c r="W56" t="s">
        <v>78</v>
      </c>
      <c r="X56" t="s">
        <v>81</v>
      </c>
      <c r="Y56">
        <v>9.5</v>
      </c>
      <c r="Z56">
        <v>6.5</v>
      </c>
      <c r="AA56" t="s">
        <v>126</v>
      </c>
      <c r="AB56" t="s">
        <v>103</v>
      </c>
      <c r="AC56">
        <v>6</v>
      </c>
      <c r="AD56">
        <v>7</v>
      </c>
      <c r="AE56">
        <v>4</v>
      </c>
      <c r="AF56">
        <v>6</v>
      </c>
      <c r="AG56">
        <v>7</v>
      </c>
      <c r="AH56">
        <v>6</v>
      </c>
      <c r="AI56" t="s">
        <v>80</v>
      </c>
      <c r="AJ56" t="s">
        <v>80</v>
      </c>
      <c r="AK56">
        <v>12</v>
      </c>
      <c r="AL56">
        <v>28</v>
      </c>
      <c r="AM56" t="s">
        <v>84</v>
      </c>
      <c r="AN56" t="s">
        <v>80</v>
      </c>
      <c r="AO56" t="s">
        <v>80</v>
      </c>
      <c r="AP56" t="s">
        <v>111</v>
      </c>
      <c r="AQ56">
        <v>4</v>
      </c>
      <c r="AR56">
        <v>4</v>
      </c>
      <c r="AS56">
        <v>4</v>
      </c>
      <c r="AT56" t="s">
        <v>85</v>
      </c>
      <c r="AU56">
        <v>14</v>
      </c>
      <c r="AV56" t="s">
        <v>80</v>
      </c>
      <c r="AW56" t="s">
        <v>80</v>
      </c>
      <c r="AX56">
        <v>6</v>
      </c>
      <c r="AY56" t="s">
        <v>78</v>
      </c>
      <c r="AZ56" t="s">
        <v>80</v>
      </c>
      <c r="BA56">
        <v>7</v>
      </c>
      <c r="BB56">
        <v>7</v>
      </c>
      <c r="BC56" t="s">
        <v>80</v>
      </c>
      <c r="BD56">
        <v>8</v>
      </c>
      <c r="BE56">
        <v>2</v>
      </c>
      <c r="BF56">
        <v>6</v>
      </c>
      <c r="BG56" t="s">
        <v>117</v>
      </c>
      <c r="BH56" t="s">
        <v>131</v>
      </c>
      <c r="BI56">
        <v>6.8</v>
      </c>
      <c r="BJ56">
        <v>7.2</v>
      </c>
      <c r="BK56">
        <v>3.7</v>
      </c>
      <c r="BL56">
        <v>7.8</v>
      </c>
    </row>
    <row r="57" spans="1:64" x14ac:dyDescent="0.25">
      <c r="A57" t="s">
        <v>259</v>
      </c>
      <c r="B57">
        <v>22</v>
      </c>
      <c r="C57" t="s">
        <v>106</v>
      </c>
      <c r="D57" t="s">
        <v>89</v>
      </c>
      <c r="E57" t="s">
        <v>107</v>
      </c>
      <c r="F57" t="s">
        <v>260</v>
      </c>
      <c r="G57" t="s">
        <v>261</v>
      </c>
      <c r="H57" t="s">
        <v>124</v>
      </c>
      <c r="I57" t="s">
        <v>71</v>
      </c>
      <c r="J57" t="s">
        <v>72</v>
      </c>
      <c r="K57" t="s">
        <v>143</v>
      </c>
      <c r="L57">
        <v>5</v>
      </c>
      <c r="M57">
        <v>4</v>
      </c>
      <c r="N57" t="s">
        <v>74</v>
      </c>
      <c r="O57" t="s">
        <v>93</v>
      </c>
      <c r="P57" t="s">
        <v>100</v>
      </c>
      <c r="Q57" t="s">
        <v>101</v>
      </c>
      <c r="R57" t="s">
        <v>102</v>
      </c>
      <c r="S57" t="s">
        <v>111</v>
      </c>
      <c r="T57" t="s">
        <v>111</v>
      </c>
      <c r="U57" t="s">
        <v>80</v>
      </c>
      <c r="V57" t="s">
        <v>80</v>
      </c>
      <c r="W57" t="s">
        <v>102</v>
      </c>
      <c r="X57" t="s">
        <v>147</v>
      </c>
      <c r="Y57">
        <v>8.5</v>
      </c>
      <c r="Z57">
        <v>7</v>
      </c>
      <c r="AA57" t="s">
        <v>126</v>
      </c>
      <c r="AB57" t="s">
        <v>103</v>
      </c>
      <c r="AC57">
        <v>6.5</v>
      </c>
      <c r="AD57">
        <v>6</v>
      </c>
      <c r="AE57">
        <v>3</v>
      </c>
      <c r="AF57">
        <v>5</v>
      </c>
      <c r="AG57">
        <v>5</v>
      </c>
      <c r="AH57">
        <v>5</v>
      </c>
      <c r="AI57" t="s">
        <v>80</v>
      </c>
      <c r="AJ57" t="s">
        <v>111</v>
      </c>
      <c r="AK57">
        <v>16</v>
      </c>
      <c r="AL57">
        <v>38</v>
      </c>
      <c r="AM57" t="s">
        <v>131</v>
      </c>
      <c r="AN57" t="s">
        <v>111</v>
      </c>
      <c r="AO57" t="s">
        <v>111</v>
      </c>
      <c r="AP57" t="s">
        <v>111</v>
      </c>
      <c r="AQ57">
        <v>5</v>
      </c>
      <c r="AR57">
        <v>4</v>
      </c>
      <c r="AS57">
        <v>5</v>
      </c>
      <c r="AT57" t="s">
        <v>131</v>
      </c>
      <c r="AU57">
        <v>20</v>
      </c>
      <c r="AV57" t="s">
        <v>80</v>
      </c>
      <c r="AW57" t="s">
        <v>111</v>
      </c>
      <c r="AX57">
        <v>5</v>
      </c>
      <c r="AY57" t="s">
        <v>102</v>
      </c>
      <c r="AZ57" t="s">
        <v>111</v>
      </c>
      <c r="BA57">
        <v>6</v>
      </c>
      <c r="BB57">
        <v>5</v>
      </c>
      <c r="BC57" t="s">
        <v>111</v>
      </c>
      <c r="BD57">
        <v>5</v>
      </c>
      <c r="BE57">
        <v>3</v>
      </c>
      <c r="BF57">
        <v>10</v>
      </c>
      <c r="BG57" t="s">
        <v>86</v>
      </c>
      <c r="BH57" t="s">
        <v>171</v>
      </c>
      <c r="BI57">
        <v>5.5</v>
      </c>
      <c r="BJ57">
        <v>6</v>
      </c>
      <c r="BK57">
        <v>4.8</v>
      </c>
      <c r="BL57">
        <v>6.5</v>
      </c>
    </row>
    <row r="58" spans="1:64" x14ac:dyDescent="0.25">
      <c r="A58" t="s">
        <v>262</v>
      </c>
      <c r="B58">
        <v>17</v>
      </c>
      <c r="C58" t="s">
        <v>65</v>
      </c>
      <c r="D58" t="s">
        <v>66</v>
      </c>
      <c r="E58" t="s">
        <v>67</v>
      </c>
      <c r="F58" t="s">
        <v>68</v>
      </c>
      <c r="G58" t="s">
        <v>69</v>
      </c>
      <c r="H58" t="s">
        <v>70</v>
      </c>
      <c r="I58" t="s">
        <v>71</v>
      </c>
      <c r="J58" t="s">
        <v>72</v>
      </c>
      <c r="K58" t="s">
        <v>73</v>
      </c>
      <c r="L58">
        <v>8</v>
      </c>
      <c r="M58">
        <v>5</v>
      </c>
      <c r="N58" t="s">
        <v>74</v>
      </c>
      <c r="O58" t="s">
        <v>75</v>
      </c>
      <c r="P58" t="s">
        <v>76</v>
      </c>
      <c r="Q58" t="s">
        <v>77</v>
      </c>
      <c r="R58" t="s">
        <v>78</v>
      </c>
      <c r="S58" t="s">
        <v>79</v>
      </c>
      <c r="T58" t="s">
        <v>79</v>
      </c>
      <c r="U58" t="s">
        <v>80</v>
      </c>
      <c r="V58" t="s">
        <v>80</v>
      </c>
      <c r="W58" t="s">
        <v>78</v>
      </c>
      <c r="X58" t="s">
        <v>81</v>
      </c>
      <c r="Y58">
        <v>12</v>
      </c>
      <c r="Z58">
        <v>5</v>
      </c>
      <c r="AA58" t="s">
        <v>94</v>
      </c>
      <c r="AB58" t="s">
        <v>83</v>
      </c>
      <c r="AC58">
        <v>6</v>
      </c>
      <c r="AD58">
        <v>10</v>
      </c>
      <c r="AE58">
        <v>5</v>
      </c>
      <c r="AF58">
        <v>9</v>
      </c>
      <c r="AG58">
        <v>9</v>
      </c>
      <c r="AH58">
        <v>9</v>
      </c>
      <c r="AI58" t="s">
        <v>80</v>
      </c>
      <c r="AJ58" t="s">
        <v>80</v>
      </c>
      <c r="AK58">
        <v>7</v>
      </c>
      <c r="AL58">
        <v>14</v>
      </c>
      <c r="AM58" t="s">
        <v>84</v>
      </c>
      <c r="AN58" t="s">
        <v>80</v>
      </c>
      <c r="AO58" t="s">
        <v>80</v>
      </c>
      <c r="AP58" t="s">
        <v>80</v>
      </c>
      <c r="AQ58">
        <v>3</v>
      </c>
      <c r="AR58">
        <v>2</v>
      </c>
      <c r="AS58">
        <v>3</v>
      </c>
      <c r="AT58" t="s">
        <v>85</v>
      </c>
      <c r="AU58">
        <v>8</v>
      </c>
      <c r="AV58" t="s">
        <v>80</v>
      </c>
      <c r="AW58" t="s">
        <v>80</v>
      </c>
      <c r="AX58">
        <v>9</v>
      </c>
      <c r="AY58" t="s">
        <v>78</v>
      </c>
      <c r="AZ58" t="s">
        <v>80</v>
      </c>
      <c r="BA58">
        <v>10</v>
      </c>
      <c r="BB58">
        <v>9</v>
      </c>
      <c r="BC58" t="s">
        <v>80</v>
      </c>
      <c r="BD58">
        <v>10</v>
      </c>
      <c r="BE58">
        <v>1</v>
      </c>
      <c r="BF58">
        <v>1</v>
      </c>
      <c r="BG58" t="s">
        <v>136</v>
      </c>
      <c r="BH58" t="s">
        <v>87</v>
      </c>
      <c r="BI58">
        <v>9.5</v>
      </c>
      <c r="BJ58">
        <v>9.8000000000000007</v>
      </c>
      <c r="BK58">
        <v>1.5</v>
      </c>
      <c r="BL58">
        <v>9.9</v>
      </c>
    </row>
    <row r="59" spans="1:64" x14ac:dyDescent="0.25">
      <c r="A59" t="s">
        <v>263</v>
      </c>
      <c r="B59">
        <v>25</v>
      </c>
      <c r="C59" t="s">
        <v>154</v>
      </c>
      <c r="D59" t="s">
        <v>89</v>
      </c>
      <c r="E59" t="s">
        <v>114</v>
      </c>
      <c r="F59" t="s">
        <v>173</v>
      </c>
      <c r="G59" t="s">
        <v>174</v>
      </c>
      <c r="H59" t="s">
        <v>124</v>
      </c>
      <c r="I59" t="s">
        <v>166</v>
      </c>
      <c r="J59" t="s">
        <v>264</v>
      </c>
      <c r="K59" t="s">
        <v>73</v>
      </c>
      <c r="L59">
        <v>4.5</v>
      </c>
      <c r="M59">
        <v>6</v>
      </c>
      <c r="N59" t="s">
        <v>74</v>
      </c>
      <c r="O59" t="s">
        <v>75</v>
      </c>
      <c r="P59" t="s">
        <v>100</v>
      </c>
      <c r="Q59" t="s">
        <v>101</v>
      </c>
      <c r="R59" t="s">
        <v>111</v>
      </c>
      <c r="S59" t="s">
        <v>111</v>
      </c>
      <c r="T59" t="s">
        <v>111</v>
      </c>
      <c r="U59" t="s">
        <v>80</v>
      </c>
      <c r="V59" t="s">
        <v>80</v>
      </c>
      <c r="W59" t="s">
        <v>102</v>
      </c>
      <c r="X59" t="s">
        <v>265</v>
      </c>
      <c r="Y59">
        <v>8</v>
      </c>
      <c r="Z59">
        <v>7.5</v>
      </c>
      <c r="AA59" t="s">
        <v>266</v>
      </c>
      <c r="AB59" t="s">
        <v>103</v>
      </c>
      <c r="AC59">
        <v>8.5</v>
      </c>
      <c r="AD59">
        <v>5</v>
      </c>
      <c r="AE59">
        <v>3</v>
      </c>
      <c r="AF59">
        <v>5</v>
      </c>
      <c r="AG59">
        <v>4</v>
      </c>
      <c r="AH59">
        <v>4</v>
      </c>
      <c r="AI59" t="s">
        <v>80</v>
      </c>
      <c r="AJ59" t="s">
        <v>111</v>
      </c>
      <c r="AK59">
        <v>22</v>
      </c>
      <c r="AL59">
        <v>55</v>
      </c>
      <c r="AM59" t="s">
        <v>131</v>
      </c>
      <c r="AN59" t="s">
        <v>111</v>
      </c>
      <c r="AO59" t="s">
        <v>111</v>
      </c>
      <c r="AP59" t="s">
        <v>111</v>
      </c>
      <c r="AQ59">
        <v>6</v>
      </c>
      <c r="AR59">
        <v>5</v>
      </c>
      <c r="AS59">
        <v>6</v>
      </c>
      <c r="AT59" t="s">
        <v>131</v>
      </c>
      <c r="AU59">
        <v>30</v>
      </c>
      <c r="AV59" t="s">
        <v>80</v>
      </c>
      <c r="AW59" t="s">
        <v>111</v>
      </c>
      <c r="AX59">
        <v>4</v>
      </c>
      <c r="AY59" t="s">
        <v>102</v>
      </c>
      <c r="AZ59" t="s">
        <v>111</v>
      </c>
      <c r="BA59">
        <v>5</v>
      </c>
      <c r="BB59">
        <v>4</v>
      </c>
      <c r="BC59" t="s">
        <v>111</v>
      </c>
      <c r="BD59">
        <v>5</v>
      </c>
      <c r="BE59">
        <v>5</v>
      </c>
      <c r="BF59">
        <v>18</v>
      </c>
      <c r="BG59" t="s">
        <v>86</v>
      </c>
      <c r="BH59" t="s">
        <v>171</v>
      </c>
      <c r="BI59">
        <v>4.8</v>
      </c>
      <c r="BJ59">
        <v>5.4</v>
      </c>
      <c r="BK59">
        <v>5.4</v>
      </c>
      <c r="BL59">
        <v>5.8</v>
      </c>
    </row>
    <row r="60" spans="1:64" x14ac:dyDescent="0.25">
      <c r="A60" t="s">
        <v>267</v>
      </c>
      <c r="B60">
        <v>18</v>
      </c>
      <c r="C60" t="s">
        <v>106</v>
      </c>
      <c r="D60" t="s">
        <v>66</v>
      </c>
      <c r="E60" t="s">
        <v>90</v>
      </c>
      <c r="F60" t="s">
        <v>233</v>
      </c>
      <c r="G60" t="s">
        <v>234</v>
      </c>
      <c r="H60" t="s">
        <v>70</v>
      </c>
      <c r="I60" t="s">
        <v>71</v>
      </c>
      <c r="J60" t="s">
        <v>72</v>
      </c>
      <c r="K60" t="s">
        <v>73</v>
      </c>
      <c r="L60">
        <v>7</v>
      </c>
      <c r="M60">
        <v>4</v>
      </c>
      <c r="N60" t="s">
        <v>93</v>
      </c>
      <c r="O60" t="s">
        <v>74</v>
      </c>
      <c r="P60" t="s">
        <v>76</v>
      </c>
      <c r="Q60" t="s">
        <v>77</v>
      </c>
      <c r="R60" t="s">
        <v>78</v>
      </c>
      <c r="S60" t="s">
        <v>79</v>
      </c>
      <c r="T60" t="s">
        <v>102</v>
      </c>
      <c r="U60" t="s">
        <v>80</v>
      </c>
      <c r="V60" t="s">
        <v>80</v>
      </c>
      <c r="W60" t="s">
        <v>78</v>
      </c>
      <c r="X60" t="s">
        <v>81</v>
      </c>
      <c r="Y60">
        <v>11</v>
      </c>
      <c r="Z60">
        <v>5.5</v>
      </c>
      <c r="AA60" t="s">
        <v>82</v>
      </c>
      <c r="AB60" t="s">
        <v>83</v>
      </c>
      <c r="AC60">
        <v>6</v>
      </c>
      <c r="AD60">
        <v>9</v>
      </c>
      <c r="AE60">
        <v>5</v>
      </c>
      <c r="AF60">
        <v>8</v>
      </c>
      <c r="AG60">
        <v>8</v>
      </c>
      <c r="AH60">
        <v>8</v>
      </c>
      <c r="AI60" t="s">
        <v>80</v>
      </c>
      <c r="AJ60" t="s">
        <v>80</v>
      </c>
      <c r="AK60">
        <v>8</v>
      </c>
      <c r="AL60">
        <v>18</v>
      </c>
      <c r="AM60" t="s">
        <v>84</v>
      </c>
      <c r="AN60" t="s">
        <v>80</v>
      </c>
      <c r="AO60" t="s">
        <v>80</v>
      </c>
      <c r="AP60" t="s">
        <v>80</v>
      </c>
      <c r="AQ60">
        <v>3</v>
      </c>
      <c r="AR60">
        <v>3</v>
      </c>
      <c r="AS60">
        <v>3</v>
      </c>
      <c r="AT60" t="s">
        <v>85</v>
      </c>
      <c r="AU60">
        <v>10</v>
      </c>
      <c r="AV60" t="s">
        <v>80</v>
      </c>
      <c r="AW60" t="s">
        <v>80</v>
      </c>
      <c r="AX60">
        <v>8</v>
      </c>
      <c r="AY60" t="s">
        <v>78</v>
      </c>
      <c r="AZ60" t="s">
        <v>80</v>
      </c>
      <c r="BA60">
        <v>9</v>
      </c>
      <c r="BB60">
        <v>8</v>
      </c>
      <c r="BC60" t="s">
        <v>80</v>
      </c>
      <c r="BD60">
        <v>9</v>
      </c>
      <c r="BE60">
        <v>2</v>
      </c>
      <c r="BF60">
        <v>3</v>
      </c>
      <c r="BG60" t="s">
        <v>86</v>
      </c>
      <c r="BH60" t="s">
        <v>87</v>
      </c>
      <c r="BI60">
        <v>9</v>
      </c>
      <c r="BJ60">
        <v>9.3000000000000007</v>
      </c>
      <c r="BK60">
        <v>2.2000000000000002</v>
      </c>
      <c r="BL60">
        <v>9.6</v>
      </c>
    </row>
    <row r="61" spans="1:64" x14ac:dyDescent="0.25">
      <c r="A61" t="s">
        <v>268</v>
      </c>
      <c r="B61">
        <v>23</v>
      </c>
      <c r="C61" t="s">
        <v>154</v>
      </c>
      <c r="D61" t="s">
        <v>89</v>
      </c>
      <c r="E61" t="s">
        <v>149</v>
      </c>
      <c r="F61" t="s">
        <v>269</v>
      </c>
      <c r="G61" t="s">
        <v>270</v>
      </c>
      <c r="H61" t="s">
        <v>124</v>
      </c>
      <c r="I61" t="s">
        <v>71</v>
      </c>
      <c r="J61" t="s">
        <v>72</v>
      </c>
      <c r="K61" t="s">
        <v>73</v>
      </c>
      <c r="L61">
        <v>5.5</v>
      </c>
      <c r="M61">
        <v>5</v>
      </c>
      <c r="N61" t="s">
        <v>75</v>
      </c>
      <c r="O61" t="s">
        <v>135</v>
      </c>
      <c r="P61" t="s">
        <v>100</v>
      </c>
      <c r="Q61" t="s">
        <v>101</v>
      </c>
      <c r="R61" t="s">
        <v>102</v>
      </c>
      <c r="S61" t="s">
        <v>102</v>
      </c>
      <c r="T61" t="s">
        <v>111</v>
      </c>
      <c r="U61" t="s">
        <v>80</v>
      </c>
      <c r="V61" t="s">
        <v>80</v>
      </c>
      <c r="W61" t="s">
        <v>102</v>
      </c>
      <c r="X61" t="s">
        <v>170</v>
      </c>
      <c r="Y61">
        <v>9</v>
      </c>
      <c r="Z61">
        <v>7</v>
      </c>
      <c r="AA61" t="s">
        <v>126</v>
      </c>
      <c r="AB61" t="s">
        <v>103</v>
      </c>
      <c r="AC61">
        <v>6.5</v>
      </c>
      <c r="AD61">
        <v>6</v>
      </c>
      <c r="AE61">
        <v>3</v>
      </c>
      <c r="AF61">
        <v>5</v>
      </c>
      <c r="AG61">
        <v>5</v>
      </c>
      <c r="AH61">
        <v>5</v>
      </c>
      <c r="AI61" t="s">
        <v>80</v>
      </c>
      <c r="AJ61" t="s">
        <v>111</v>
      </c>
      <c r="AK61">
        <v>16</v>
      </c>
      <c r="AL61">
        <v>38</v>
      </c>
      <c r="AM61" t="s">
        <v>131</v>
      </c>
      <c r="AN61" t="s">
        <v>111</v>
      </c>
      <c r="AO61" t="s">
        <v>111</v>
      </c>
      <c r="AP61" t="s">
        <v>111</v>
      </c>
      <c r="AQ61">
        <v>5</v>
      </c>
      <c r="AR61">
        <v>4</v>
      </c>
      <c r="AS61">
        <v>5</v>
      </c>
      <c r="AT61" t="s">
        <v>131</v>
      </c>
      <c r="AU61">
        <v>20</v>
      </c>
      <c r="AV61" t="s">
        <v>80</v>
      </c>
      <c r="AW61" t="s">
        <v>111</v>
      </c>
      <c r="AX61">
        <v>5</v>
      </c>
      <c r="AY61" t="s">
        <v>102</v>
      </c>
      <c r="AZ61" t="s">
        <v>111</v>
      </c>
      <c r="BA61">
        <v>6</v>
      </c>
      <c r="BB61">
        <v>5</v>
      </c>
      <c r="BC61" t="s">
        <v>111</v>
      </c>
      <c r="BD61">
        <v>5</v>
      </c>
      <c r="BE61">
        <v>3</v>
      </c>
      <c r="BF61">
        <v>10</v>
      </c>
      <c r="BG61" t="s">
        <v>86</v>
      </c>
      <c r="BH61" t="s">
        <v>171</v>
      </c>
      <c r="BI61">
        <v>5.8</v>
      </c>
      <c r="BJ61">
        <v>6.2</v>
      </c>
      <c r="BK61">
        <v>4.5</v>
      </c>
      <c r="BL61">
        <v>6.8</v>
      </c>
    </row>
    <row r="62" spans="1:64" x14ac:dyDescent="0.25">
      <c r="A62" t="s">
        <v>271</v>
      </c>
      <c r="B62">
        <v>26</v>
      </c>
      <c r="C62" t="s">
        <v>154</v>
      </c>
      <c r="D62" t="s">
        <v>66</v>
      </c>
      <c r="E62" t="s">
        <v>107</v>
      </c>
      <c r="F62" t="s">
        <v>108</v>
      </c>
      <c r="G62" t="s">
        <v>109</v>
      </c>
      <c r="H62" t="s">
        <v>124</v>
      </c>
      <c r="I62" t="s">
        <v>166</v>
      </c>
      <c r="J62" t="s">
        <v>167</v>
      </c>
      <c r="K62" t="s">
        <v>143</v>
      </c>
      <c r="L62">
        <v>4</v>
      </c>
      <c r="M62">
        <v>7</v>
      </c>
      <c r="N62" t="s">
        <v>74</v>
      </c>
      <c r="O62" t="s">
        <v>272</v>
      </c>
      <c r="P62" t="s">
        <v>273</v>
      </c>
      <c r="Q62" t="s">
        <v>101</v>
      </c>
      <c r="R62" t="s">
        <v>111</v>
      </c>
      <c r="S62" t="s">
        <v>111</v>
      </c>
      <c r="T62" t="s">
        <v>274</v>
      </c>
      <c r="U62" t="s">
        <v>80</v>
      </c>
      <c r="V62" t="s">
        <v>111</v>
      </c>
      <c r="W62" t="s">
        <v>111</v>
      </c>
      <c r="X62" t="s">
        <v>125</v>
      </c>
      <c r="Y62">
        <v>8</v>
      </c>
      <c r="Z62">
        <v>7.5</v>
      </c>
      <c r="AA62" t="s">
        <v>266</v>
      </c>
      <c r="AB62" t="s">
        <v>275</v>
      </c>
      <c r="AC62">
        <v>8.5</v>
      </c>
      <c r="AD62">
        <v>5</v>
      </c>
      <c r="AE62">
        <v>3</v>
      </c>
      <c r="AF62">
        <v>5</v>
      </c>
      <c r="AG62">
        <v>5</v>
      </c>
      <c r="AH62">
        <v>4</v>
      </c>
      <c r="AI62" t="s">
        <v>111</v>
      </c>
      <c r="AJ62" t="s">
        <v>111</v>
      </c>
      <c r="AK62">
        <v>22</v>
      </c>
      <c r="AL62">
        <v>55</v>
      </c>
      <c r="AM62" t="s">
        <v>85</v>
      </c>
      <c r="AN62" t="s">
        <v>111</v>
      </c>
      <c r="AO62" t="s">
        <v>111</v>
      </c>
      <c r="AP62" t="s">
        <v>274</v>
      </c>
      <c r="AQ62">
        <v>6</v>
      </c>
      <c r="AR62">
        <v>6</v>
      </c>
      <c r="AS62">
        <v>6</v>
      </c>
      <c r="AT62" t="s">
        <v>266</v>
      </c>
      <c r="AU62">
        <v>32</v>
      </c>
      <c r="AV62" t="s">
        <v>111</v>
      </c>
      <c r="AW62" t="s">
        <v>111</v>
      </c>
      <c r="AX62">
        <v>4</v>
      </c>
      <c r="AY62" t="s">
        <v>274</v>
      </c>
      <c r="AZ62" t="s">
        <v>111</v>
      </c>
      <c r="BA62">
        <v>4</v>
      </c>
      <c r="BB62">
        <v>4</v>
      </c>
      <c r="BC62" t="s">
        <v>274</v>
      </c>
      <c r="BD62">
        <v>4</v>
      </c>
      <c r="BE62">
        <v>5</v>
      </c>
      <c r="BF62">
        <v>20</v>
      </c>
      <c r="BG62" t="s">
        <v>276</v>
      </c>
      <c r="BH62" t="s">
        <v>171</v>
      </c>
      <c r="BI62">
        <v>4.5</v>
      </c>
      <c r="BJ62">
        <v>5</v>
      </c>
      <c r="BK62">
        <v>5.8</v>
      </c>
      <c r="BL62">
        <v>5.5</v>
      </c>
    </row>
    <row r="63" spans="1:64" x14ac:dyDescent="0.25">
      <c r="A63" t="s">
        <v>277</v>
      </c>
      <c r="B63">
        <v>28</v>
      </c>
      <c r="C63" t="s">
        <v>278</v>
      </c>
      <c r="D63" t="s">
        <v>89</v>
      </c>
      <c r="E63" t="s">
        <v>90</v>
      </c>
      <c r="F63" t="s">
        <v>91</v>
      </c>
      <c r="G63" t="s">
        <v>92</v>
      </c>
      <c r="H63" t="s">
        <v>279</v>
      </c>
      <c r="I63" t="s">
        <v>166</v>
      </c>
      <c r="J63" t="s">
        <v>167</v>
      </c>
      <c r="K63" t="s">
        <v>73</v>
      </c>
      <c r="L63">
        <v>3.5</v>
      </c>
      <c r="M63">
        <v>8</v>
      </c>
      <c r="N63" t="s">
        <v>168</v>
      </c>
      <c r="O63" t="s">
        <v>272</v>
      </c>
      <c r="P63" t="s">
        <v>273</v>
      </c>
      <c r="Q63" t="s">
        <v>101</v>
      </c>
      <c r="R63" t="s">
        <v>274</v>
      </c>
      <c r="S63" t="s">
        <v>111</v>
      </c>
      <c r="T63" t="s">
        <v>274</v>
      </c>
      <c r="U63" t="s">
        <v>80</v>
      </c>
      <c r="V63" t="s">
        <v>274</v>
      </c>
      <c r="W63" t="s">
        <v>274</v>
      </c>
      <c r="X63" t="s">
        <v>280</v>
      </c>
      <c r="Y63">
        <v>7</v>
      </c>
      <c r="Z63">
        <v>7.5</v>
      </c>
      <c r="AA63" t="s">
        <v>266</v>
      </c>
      <c r="AB63" t="s">
        <v>275</v>
      </c>
      <c r="AC63">
        <v>9.5</v>
      </c>
      <c r="AD63">
        <v>4</v>
      </c>
      <c r="AE63">
        <v>2</v>
      </c>
      <c r="AF63">
        <v>4</v>
      </c>
      <c r="AG63">
        <v>3</v>
      </c>
      <c r="AH63">
        <v>3</v>
      </c>
      <c r="AI63" t="s">
        <v>111</v>
      </c>
      <c r="AJ63" t="s">
        <v>274</v>
      </c>
      <c r="AK63">
        <v>28</v>
      </c>
      <c r="AL63">
        <v>70</v>
      </c>
      <c r="AM63" t="s">
        <v>85</v>
      </c>
      <c r="AN63" t="s">
        <v>274</v>
      </c>
      <c r="AO63" t="s">
        <v>111</v>
      </c>
      <c r="AP63" t="s">
        <v>274</v>
      </c>
      <c r="AQ63">
        <v>7</v>
      </c>
      <c r="AR63">
        <v>6</v>
      </c>
      <c r="AS63">
        <v>7</v>
      </c>
      <c r="AT63" t="s">
        <v>266</v>
      </c>
      <c r="AU63">
        <v>40</v>
      </c>
      <c r="AV63" t="s">
        <v>274</v>
      </c>
      <c r="AW63" t="s">
        <v>274</v>
      </c>
      <c r="AX63">
        <v>3</v>
      </c>
      <c r="AY63" t="s">
        <v>274</v>
      </c>
      <c r="AZ63" t="s">
        <v>274</v>
      </c>
      <c r="BA63">
        <v>3</v>
      </c>
      <c r="BB63">
        <v>4</v>
      </c>
      <c r="BC63" t="s">
        <v>274</v>
      </c>
      <c r="BD63">
        <v>3</v>
      </c>
      <c r="BE63">
        <v>6</v>
      </c>
      <c r="BF63">
        <v>25</v>
      </c>
      <c r="BG63" t="s">
        <v>86</v>
      </c>
      <c r="BH63" t="s">
        <v>281</v>
      </c>
      <c r="BI63">
        <v>3.2</v>
      </c>
      <c r="BJ63">
        <v>3.8</v>
      </c>
      <c r="BK63">
        <v>7</v>
      </c>
      <c r="BL63">
        <v>4</v>
      </c>
    </row>
    <row r="64" spans="1:64" x14ac:dyDescent="0.25">
      <c r="A64" t="s">
        <v>282</v>
      </c>
      <c r="B64">
        <v>25</v>
      </c>
      <c r="C64" t="s">
        <v>154</v>
      </c>
      <c r="D64" t="s">
        <v>66</v>
      </c>
      <c r="E64" t="s">
        <v>67</v>
      </c>
      <c r="F64" t="s">
        <v>68</v>
      </c>
      <c r="G64" t="s">
        <v>69</v>
      </c>
      <c r="H64" t="s">
        <v>279</v>
      </c>
      <c r="I64" t="s">
        <v>166</v>
      </c>
      <c r="J64" t="s">
        <v>242</v>
      </c>
      <c r="K64" t="s">
        <v>73</v>
      </c>
      <c r="L64">
        <v>4.5</v>
      </c>
      <c r="M64">
        <v>6</v>
      </c>
      <c r="N64" t="s">
        <v>74</v>
      </c>
      <c r="O64" t="s">
        <v>272</v>
      </c>
      <c r="P64" t="s">
        <v>100</v>
      </c>
      <c r="Q64" t="s">
        <v>101</v>
      </c>
      <c r="R64" t="s">
        <v>111</v>
      </c>
      <c r="S64" t="s">
        <v>102</v>
      </c>
      <c r="T64" t="s">
        <v>111</v>
      </c>
      <c r="U64" t="s">
        <v>80</v>
      </c>
      <c r="V64" t="s">
        <v>111</v>
      </c>
      <c r="W64" t="s">
        <v>102</v>
      </c>
      <c r="X64" t="s">
        <v>125</v>
      </c>
      <c r="Y64">
        <v>8.5</v>
      </c>
      <c r="Z64">
        <v>7</v>
      </c>
      <c r="AA64" t="s">
        <v>126</v>
      </c>
      <c r="AB64" t="s">
        <v>103</v>
      </c>
      <c r="AC64">
        <v>8.5</v>
      </c>
      <c r="AD64">
        <v>6</v>
      </c>
      <c r="AE64">
        <v>3</v>
      </c>
      <c r="AF64">
        <v>6</v>
      </c>
      <c r="AG64">
        <v>6</v>
      </c>
      <c r="AH64">
        <v>5</v>
      </c>
      <c r="AI64" t="s">
        <v>80</v>
      </c>
      <c r="AJ64" t="s">
        <v>111</v>
      </c>
      <c r="AK64">
        <v>18</v>
      </c>
      <c r="AL64">
        <v>44</v>
      </c>
      <c r="AM64" t="s">
        <v>131</v>
      </c>
      <c r="AN64" t="s">
        <v>111</v>
      </c>
      <c r="AO64" t="s">
        <v>111</v>
      </c>
      <c r="AP64" t="s">
        <v>111</v>
      </c>
      <c r="AQ64">
        <v>5</v>
      </c>
      <c r="AR64">
        <v>5</v>
      </c>
      <c r="AS64">
        <v>5</v>
      </c>
      <c r="AT64" t="s">
        <v>131</v>
      </c>
      <c r="AU64">
        <v>24</v>
      </c>
      <c r="AV64" t="s">
        <v>80</v>
      </c>
      <c r="AW64" t="s">
        <v>111</v>
      </c>
      <c r="AX64">
        <v>5</v>
      </c>
      <c r="AY64" t="s">
        <v>102</v>
      </c>
      <c r="AZ64" t="s">
        <v>111</v>
      </c>
      <c r="BA64">
        <v>5</v>
      </c>
      <c r="BB64">
        <v>5</v>
      </c>
      <c r="BC64" t="s">
        <v>111</v>
      </c>
      <c r="BD64">
        <v>5</v>
      </c>
      <c r="BE64">
        <v>4</v>
      </c>
      <c r="BF64">
        <v>14</v>
      </c>
      <c r="BG64" t="s">
        <v>117</v>
      </c>
      <c r="BH64" t="s">
        <v>171</v>
      </c>
      <c r="BI64">
        <v>5.2</v>
      </c>
      <c r="BJ64">
        <v>5.8</v>
      </c>
      <c r="BK64">
        <v>5</v>
      </c>
      <c r="BL64">
        <v>6.2</v>
      </c>
    </row>
    <row r="65" spans="1:64" x14ac:dyDescent="0.25">
      <c r="A65" t="s">
        <v>283</v>
      </c>
      <c r="B65">
        <v>30</v>
      </c>
      <c r="C65" t="s">
        <v>278</v>
      </c>
      <c r="D65" t="s">
        <v>89</v>
      </c>
      <c r="E65" t="s">
        <v>97</v>
      </c>
      <c r="F65" t="s">
        <v>98</v>
      </c>
      <c r="G65" t="s">
        <v>99</v>
      </c>
      <c r="H65" t="s">
        <v>124</v>
      </c>
      <c r="I65" t="s">
        <v>166</v>
      </c>
      <c r="J65" t="s">
        <v>264</v>
      </c>
      <c r="K65" t="s">
        <v>143</v>
      </c>
      <c r="L65">
        <v>3.5</v>
      </c>
      <c r="M65">
        <v>7</v>
      </c>
      <c r="N65" t="s">
        <v>74</v>
      </c>
      <c r="O65" t="s">
        <v>272</v>
      </c>
      <c r="P65" t="s">
        <v>273</v>
      </c>
      <c r="Q65" t="s">
        <v>101</v>
      </c>
      <c r="R65" t="s">
        <v>274</v>
      </c>
      <c r="S65" t="s">
        <v>111</v>
      </c>
      <c r="T65" t="s">
        <v>274</v>
      </c>
      <c r="U65" t="s">
        <v>80</v>
      </c>
      <c r="V65" t="s">
        <v>274</v>
      </c>
      <c r="W65" t="s">
        <v>274</v>
      </c>
      <c r="X65" t="s">
        <v>280</v>
      </c>
      <c r="Y65">
        <v>7.5</v>
      </c>
      <c r="Z65">
        <v>7.5</v>
      </c>
      <c r="AA65" t="s">
        <v>266</v>
      </c>
      <c r="AB65" t="s">
        <v>275</v>
      </c>
      <c r="AC65">
        <v>9</v>
      </c>
      <c r="AD65">
        <v>4</v>
      </c>
      <c r="AE65">
        <v>2</v>
      </c>
      <c r="AF65">
        <v>4</v>
      </c>
      <c r="AG65">
        <v>3</v>
      </c>
      <c r="AH65">
        <v>3</v>
      </c>
      <c r="AI65" t="s">
        <v>111</v>
      </c>
      <c r="AJ65" t="s">
        <v>274</v>
      </c>
      <c r="AK65">
        <v>26</v>
      </c>
      <c r="AL65">
        <v>65</v>
      </c>
      <c r="AM65" t="s">
        <v>85</v>
      </c>
      <c r="AN65" t="s">
        <v>274</v>
      </c>
      <c r="AO65" t="s">
        <v>111</v>
      </c>
      <c r="AP65" t="s">
        <v>274</v>
      </c>
      <c r="AQ65">
        <v>7</v>
      </c>
      <c r="AR65">
        <v>6</v>
      </c>
      <c r="AS65">
        <v>7</v>
      </c>
      <c r="AT65" t="s">
        <v>266</v>
      </c>
      <c r="AU65">
        <v>38</v>
      </c>
      <c r="AV65" t="s">
        <v>274</v>
      </c>
      <c r="AW65" t="s">
        <v>274</v>
      </c>
      <c r="AX65">
        <v>3</v>
      </c>
      <c r="AY65" t="s">
        <v>274</v>
      </c>
      <c r="AZ65" t="s">
        <v>274</v>
      </c>
      <c r="BA65">
        <v>3</v>
      </c>
      <c r="BB65">
        <v>4</v>
      </c>
      <c r="BC65" t="s">
        <v>274</v>
      </c>
      <c r="BD65">
        <v>3</v>
      </c>
      <c r="BE65">
        <v>6</v>
      </c>
      <c r="BF65">
        <v>22</v>
      </c>
      <c r="BG65" t="s">
        <v>86</v>
      </c>
      <c r="BH65" t="s">
        <v>281</v>
      </c>
      <c r="BI65">
        <v>3.5</v>
      </c>
      <c r="BJ65">
        <v>4</v>
      </c>
      <c r="BK65">
        <v>6.8</v>
      </c>
      <c r="BL65">
        <v>4.2</v>
      </c>
    </row>
    <row r="66" spans="1:64" x14ac:dyDescent="0.25">
      <c r="A66" t="s">
        <v>284</v>
      </c>
      <c r="B66">
        <v>27</v>
      </c>
      <c r="C66" t="s">
        <v>154</v>
      </c>
      <c r="D66" t="s">
        <v>66</v>
      </c>
      <c r="E66" t="s">
        <v>107</v>
      </c>
      <c r="F66" t="s">
        <v>122</v>
      </c>
      <c r="G66" t="s">
        <v>123</v>
      </c>
      <c r="H66" t="s">
        <v>279</v>
      </c>
      <c r="I66" t="s">
        <v>166</v>
      </c>
      <c r="J66" t="s">
        <v>285</v>
      </c>
      <c r="K66" t="s">
        <v>143</v>
      </c>
      <c r="L66">
        <v>3</v>
      </c>
      <c r="M66">
        <v>7</v>
      </c>
      <c r="N66" t="s">
        <v>74</v>
      </c>
      <c r="O66" t="s">
        <v>135</v>
      </c>
      <c r="P66" t="s">
        <v>273</v>
      </c>
      <c r="Q66" t="s">
        <v>101</v>
      </c>
      <c r="R66" t="s">
        <v>274</v>
      </c>
      <c r="S66" t="s">
        <v>274</v>
      </c>
      <c r="T66" t="s">
        <v>274</v>
      </c>
      <c r="U66" t="s">
        <v>286</v>
      </c>
      <c r="V66" t="s">
        <v>274</v>
      </c>
      <c r="W66" t="s">
        <v>274</v>
      </c>
      <c r="X66" t="s">
        <v>287</v>
      </c>
      <c r="Y66">
        <v>7</v>
      </c>
      <c r="Z66">
        <v>8</v>
      </c>
      <c r="AA66" t="s">
        <v>266</v>
      </c>
      <c r="AB66" t="s">
        <v>275</v>
      </c>
      <c r="AC66">
        <v>9</v>
      </c>
      <c r="AD66">
        <v>4</v>
      </c>
      <c r="AE66">
        <v>2</v>
      </c>
      <c r="AF66">
        <v>4</v>
      </c>
      <c r="AG66">
        <v>4</v>
      </c>
      <c r="AH66">
        <v>3</v>
      </c>
      <c r="AI66" t="s">
        <v>274</v>
      </c>
      <c r="AJ66" t="s">
        <v>274</v>
      </c>
      <c r="AK66">
        <v>28</v>
      </c>
      <c r="AL66">
        <v>70</v>
      </c>
      <c r="AM66" t="s">
        <v>85</v>
      </c>
      <c r="AN66" t="s">
        <v>274</v>
      </c>
      <c r="AO66" t="s">
        <v>274</v>
      </c>
      <c r="AP66" t="s">
        <v>274</v>
      </c>
      <c r="AQ66">
        <v>7</v>
      </c>
      <c r="AR66">
        <v>7</v>
      </c>
      <c r="AS66">
        <v>7</v>
      </c>
      <c r="AT66" t="s">
        <v>266</v>
      </c>
      <c r="AU66">
        <v>40</v>
      </c>
      <c r="AV66" t="s">
        <v>274</v>
      </c>
      <c r="AW66" t="s">
        <v>274</v>
      </c>
      <c r="AX66">
        <v>3</v>
      </c>
      <c r="AY66" t="s">
        <v>274</v>
      </c>
      <c r="AZ66" t="s">
        <v>274</v>
      </c>
      <c r="BA66">
        <v>3</v>
      </c>
      <c r="BB66">
        <v>3</v>
      </c>
      <c r="BC66" t="s">
        <v>274</v>
      </c>
      <c r="BD66">
        <v>3</v>
      </c>
      <c r="BE66">
        <v>6</v>
      </c>
      <c r="BF66">
        <v>28</v>
      </c>
      <c r="BG66" t="s">
        <v>86</v>
      </c>
      <c r="BH66" t="s">
        <v>281</v>
      </c>
      <c r="BI66">
        <v>2.8</v>
      </c>
      <c r="BJ66">
        <v>3.4</v>
      </c>
      <c r="BK66">
        <v>7.5</v>
      </c>
      <c r="BL66">
        <v>3.5</v>
      </c>
    </row>
    <row r="67" spans="1:64" x14ac:dyDescent="0.25">
      <c r="A67" t="s">
        <v>288</v>
      </c>
      <c r="B67">
        <v>32</v>
      </c>
      <c r="C67" t="s">
        <v>278</v>
      </c>
      <c r="D67" t="s">
        <v>89</v>
      </c>
      <c r="E67" t="s">
        <v>114</v>
      </c>
      <c r="F67" t="s">
        <v>115</v>
      </c>
      <c r="G67" t="s">
        <v>116</v>
      </c>
      <c r="H67" t="s">
        <v>124</v>
      </c>
      <c r="I67" t="s">
        <v>166</v>
      </c>
      <c r="J67" t="s">
        <v>289</v>
      </c>
      <c r="K67" t="s">
        <v>290</v>
      </c>
      <c r="L67">
        <v>3</v>
      </c>
      <c r="M67">
        <v>8</v>
      </c>
      <c r="N67" t="s">
        <v>74</v>
      </c>
      <c r="O67" t="s">
        <v>75</v>
      </c>
      <c r="P67" t="s">
        <v>273</v>
      </c>
      <c r="Q67" t="s">
        <v>101</v>
      </c>
      <c r="R67" t="s">
        <v>274</v>
      </c>
      <c r="S67" t="s">
        <v>111</v>
      </c>
      <c r="T67" t="s">
        <v>274</v>
      </c>
      <c r="U67" t="s">
        <v>80</v>
      </c>
      <c r="V67" t="s">
        <v>274</v>
      </c>
      <c r="W67" t="s">
        <v>274</v>
      </c>
      <c r="X67" t="s">
        <v>291</v>
      </c>
      <c r="Y67">
        <v>7</v>
      </c>
      <c r="Z67">
        <v>7.5</v>
      </c>
      <c r="AA67" t="s">
        <v>266</v>
      </c>
      <c r="AB67" t="s">
        <v>275</v>
      </c>
      <c r="AC67">
        <v>9</v>
      </c>
      <c r="AD67">
        <v>4</v>
      </c>
      <c r="AE67">
        <v>2</v>
      </c>
      <c r="AF67">
        <v>4</v>
      </c>
      <c r="AG67">
        <v>4</v>
      </c>
      <c r="AH67">
        <v>3</v>
      </c>
      <c r="AI67" t="s">
        <v>111</v>
      </c>
      <c r="AJ67" t="s">
        <v>274</v>
      </c>
      <c r="AK67">
        <v>26</v>
      </c>
      <c r="AL67">
        <v>65</v>
      </c>
      <c r="AM67" t="s">
        <v>85</v>
      </c>
      <c r="AN67" t="s">
        <v>274</v>
      </c>
      <c r="AO67" t="s">
        <v>274</v>
      </c>
      <c r="AP67" t="s">
        <v>274</v>
      </c>
      <c r="AQ67">
        <v>7</v>
      </c>
      <c r="AR67">
        <v>6</v>
      </c>
      <c r="AS67">
        <v>7</v>
      </c>
      <c r="AT67" t="s">
        <v>266</v>
      </c>
      <c r="AU67">
        <v>38</v>
      </c>
      <c r="AV67" t="s">
        <v>274</v>
      </c>
      <c r="AW67" t="s">
        <v>274</v>
      </c>
      <c r="AX67">
        <v>3</v>
      </c>
      <c r="AY67" t="s">
        <v>274</v>
      </c>
      <c r="AZ67" t="s">
        <v>274</v>
      </c>
      <c r="BA67">
        <v>3</v>
      </c>
      <c r="BB67">
        <v>4</v>
      </c>
      <c r="BC67" t="s">
        <v>274</v>
      </c>
      <c r="BD67">
        <v>3</v>
      </c>
      <c r="BE67">
        <v>6</v>
      </c>
      <c r="BF67">
        <v>24</v>
      </c>
      <c r="BG67" t="s">
        <v>86</v>
      </c>
      <c r="BH67" t="s">
        <v>281</v>
      </c>
      <c r="BI67">
        <v>3.2</v>
      </c>
      <c r="BJ67">
        <v>3.8</v>
      </c>
      <c r="BK67">
        <v>7</v>
      </c>
      <c r="BL67">
        <v>4</v>
      </c>
    </row>
    <row r="68" spans="1:64" x14ac:dyDescent="0.25">
      <c r="A68" t="s">
        <v>292</v>
      </c>
      <c r="B68">
        <v>29</v>
      </c>
      <c r="C68" t="s">
        <v>278</v>
      </c>
      <c r="D68" t="s">
        <v>66</v>
      </c>
      <c r="E68" t="s">
        <v>90</v>
      </c>
      <c r="F68" t="s">
        <v>128</v>
      </c>
      <c r="G68" t="s">
        <v>129</v>
      </c>
      <c r="H68" t="s">
        <v>279</v>
      </c>
      <c r="I68" t="s">
        <v>166</v>
      </c>
      <c r="J68" t="s">
        <v>242</v>
      </c>
      <c r="K68" t="s">
        <v>73</v>
      </c>
      <c r="L68">
        <v>4</v>
      </c>
      <c r="M68">
        <v>7</v>
      </c>
      <c r="N68" t="s">
        <v>74</v>
      </c>
      <c r="O68" t="s">
        <v>130</v>
      </c>
      <c r="P68" t="s">
        <v>100</v>
      </c>
      <c r="Q68" t="s">
        <v>101</v>
      </c>
      <c r="R68" t="s">
        <v>111</v>
      </c>
      <c r="S68" t="s">
        <v>111</v>
      </c>
      <c r="T68" t="s">
        <v>111</v>
      </c>
      <c r="U68" t="s">
        <v>80</v>
      </c>
      <c r="V68" t="s">
        <v>111</v>
      </c>
      <c r="W68" t="s">
        <v>111</v>
      </c>
      <c r="X68" t="s">
        <v>287</v>
      </c>
      <c r="Y68">
        <v>8</v>
      </c>
      <c r="Z68">
        <v>7.5</v>
      </c>
      <c r="AA68" t="s">
        <v>126</v>
      </c>
      <c r="AB68" t="s">
        <v>103</v>
      </c>
      <c r="AC68">
        <v>8.5</v>
      </c>
      <c r="AD68">
        <v>5</v>
      </c>
      <c r="AE68">
        <v>3</v>
      </c>
      <c r="AF68">
        <v>5</v>
      </c>
      <c r="AG68">
        <v>5</v>
      </c>
      <c r="AH68">
        <v>4</v>
      </c>
      <c r="AI68" t="s">
        <v>111</v>
      </c>
      <c r="AJ68" t="s">
        <v>111</v>
      </c>
      <c r="AK68">
        <v>22</v>
      </c>
      <c r="AL68">
        <v>52</v>
      </c>
      <c r="AM68" t="s">
        <v>131</v>
      </c>
      <c r="AN68" t="s">
        <v>111</v>
      </c>
      <c r="AO68" t="s">
        <v>111</v>
      </c>
      <c r="AP68" t="s">
        <v>111</v>
      </c>
      <c r="AQ68">
        <v>5</v>
      </c>
      <c r="AR68">
        <v>5</v>
      </c>
      <c r="AS68">
        <v>5</v>
      </c>
      <c r="AT68" t="s">
        <v>131</v>
      </c>
      <c r="AU68">
        <v>28</v>
      </c>
      <c r="AV68" t="s">
        <v>80</v>
      </c>
      <c r="AW68" t="s">
        <v>111</v>
      </c>
      <c r="AX68">
        <v>4</v>
      </c>
      <c r="AY68" t="s">
        <v>111</v>
      </c>
      <c r="AZ68" t="s">
        <v>111</v>
      </c>
      <c r="BA68">
        <v>4</v>
      </c>
      <c r="BB68">
        <v>5</v>
      </c>
      <c r="BC68" t="s">
        <v>111</v>
      </c>
      <c r="BD68">
        <v>4</v>
      </c>
      <c r="BE68">
        <v>5</v>
      </c>
      <c r="BF68">
        <v>18</v>
      </c>
      <c r="BG68" t="s">
        <v>152</v>
      </c>
      <c r="BH68" t="s">
        <v>131</v>
      </c>
      <c r="BI68">
        <v>5</v>
      </c>
      <c r="BJ68">
        <v>5.5</v>
      </c>
      <c r="BK68">
        <v>5.2</v>
      </c>
      <c r="BL68">
        <v>6</v>
      </c>
    </row>
    <row r="69" spans="1:64" x14ac:dyDescent="0.25">
      <c r="A69" t="s">
        <v>293</v>
      </c>
      <c r="B69">
        <v>26</v>
      </c>
      <c r="C69" t="s">
        <v>154</v>
      </c>
      <c r="D69" t="s">
        <v>89</v>
      </c>
      <c r="E69" t="s">
        <v>67</v>
      </c>
      <c r="F69" t="s">
        <v>119</v>
      </c>
      <c r="G69" t="s">
        <v>120</v>
      </c>
      <c r="H69" t="s">
        <v>124</v>
      </c>
      <c r="I69" t="s">
        <v>166</v>
      </c>
      <c r="J69" t="s">
        <v>167</v>
      </c>
      <c r="K69" t="s">
        <v>73</v>
      </c>
      <c r="L69">
        <v>5</v>
      </c>
      <c r="M69">
        <v>5</v>
      </c>
      <c r="N69" t="s">
        <v>75</v>
      </c>
      <c r="O69" t="s">
        <v>74</v>
      </c>
      <c r="P69" t="s">
        <v>100</v>
      </c>
      <c r="Q69" t="s">
        <v>101</v>
      </c>
      <c r="R69" t="s">
        <v>102</v>
      </c>
      <c r="S69" t="s">
        <v>102</v>
      </c>
      <c r="T69" t="s">
        <v>111</v>
      </c>
      <c r="U69" t="s">
        <v>80</v>
      </c>
      <c r="V69" t="s">
        <v>80</v>
      </c>
      <c r="W69" t="s">
        <v>102</v>
      </c>
      <c r="X69" t="s">
        <v>112</v>
      </c>
      <c r="Y69">
        <v>9</v>
      </c>
      <c r="Z69">
        <v>7</v>
      </c>
      <c r="AA69" t="s">
        <v>126</v>
      </c>
      <c r="AB69" t="s">
        <v>103</v>
      </c>
      <c r="AC69">
        <v>8</v>
      </c>
      <c r="AD69">
        <v>6</v>
      </c>
      <c r="AE69">
        <v>3</v>
      </c>
      <c r="AF69">
        <v>5</v>
      </c>
      <c r="AG69">
        <v>5</v>
      </c>
      <c r="AH69">
        <v>5</v>
      </c>
      <c r="AI69" t="s">
        <v>80</v>
      </c>
      <c r="AJ69" t="s">
        <v>111</v>
      </c>
      <c r="AK69">
        <v>16</v>
      </c>
      <c r="AL69">
        <v>38</v>
      </c>
      <c r="AM69" t="s">
        <v>131</v>
      </c>
      <c r="AN69" t="s">
        <v>111</v>
      </c>
      <c r="AO69" t="s">
        <v>111</v>
      </c>
      <c r="AP69" t="s">
        <v>111</v>
      </c>
      <c r="AQ69">
        <v>5</v>
      </c>
      <c r="AR69">
        <v>5</v>
      </c>
      <c r="AS69">
        <v>5</v>
      </c>
      <c r="AT69" t="s">
        <v>131</v>
      </c>
      <c r="AU69">
        <v>22</v>
      </c>
      <c r="AV69" t="s">
        <v>80</v>
      </c>
      <c r="AW69" t="s">
        <v>111</v>
      </c>
      <c r="AX69">
        <v>5</v>
      </c>
      <c r="AY69" t="s">
        <v>102</v>
      </c>
      <c r="AZ69" t="s">
        <v>111</v>
      </c>
      <c r="BA69">
        <v>6</v>
      </c>
      <c r="BB69">
        <v>5</v>
      </c>
      <c r="BC69" t="s">
        <v>111</v>
      </c>
      <c r="BD69">
        <v>5</v>
      </c>
      <c r="BE69">
        <v>4</v>
      </c>
      <c r="BF69">
        <v>12</v>
      </c>
      <c r="BG69" t="s">
        <v>86</v>
      </c>
      <c r="BH69" t="s">
        <v>171</v>
      </c>
      <c r="BI69">
        <v>5.5</v>
      </c>
      <c r="BJ69">
        <v>6</v>
      </c>
      <c r="BK69">
        <v>4.8</v>
      </c>
      <c r="BL69">
        <v>6.5</v>
      </c>
    </row>
    <row r="70" spans="1:64" x14ac:dyDescent="0.25">
      <c r="A70" t="s">
        <v>294</v>
      </c>
      <c r="B70">
        <v>34</v>
      </c>
      <c r="C70" t="s">
        <v>278</v>
      </c>
      <c r="D70" t="s">
        <v>66</v>
      </c>
      <c r="E70" t="s">
        <v>107</v>
      </c>
      <c r="F70" t="s">
        <v>141</v>
      </c>
      <c r="G70" t="s">
        <v>142</v>
      </c>
      <c r="H70" t="s">
        <v>279</v>
      </c>
      <c r="I70" t="s">
        <v>166</v>
      </c>
      <c r="J70" t="s">
        <v>285</v>
      </c>
      <c r="K70" t="s">
        <v>290</v>
      </c>
      <c r="L70">
        <v>2.5</v>
      </c>
      <c r="M70">
        <v>8</v>
      </c>
      <c r="N70" t="s">
        <v>135</v>
      </c>
      <c r="O70" t="s">
        <v>74</v>
      </c>
      <c r="P70" t="s">
        <v>273</v>
      </c>
      <c r="Q70" t="s">
        <v>295</v>
      </c>
      <c r="R70" t="s">
        <v>274</v>
      </c>
      <c r="S70" t="s">
        <v>274</v>
      </c>
      <c r="T70" t="s">
        <v>274</v>
      </c>
      <c r="U70" t="s">
        <v>286</v>
      </c>
      <c r="V70" t="s">
        <v>274</v>
      </c>
      <c r="W70" t="s">
        <v>274</v>
      </c>
      <c r="X70" t="s">
        <v>296</v>
      </c>
      <c r="Y70">
        <v>6.5</v>
      </c>
      <c r="Z70">
        <v>8</v>
      </c>
      <c r="AA70" t="s">
        <v>266</v>
      </c>
      <c r="AB70" t="s">
        <v>78</v>
      </c>
      <c r="AC70">
        <v>8.5</v>
      </c>
      <c r="AD70">
        <v>3</v>
      </c>
      <c r="AE70">
        <v>2</v>
      </c>
      <c r="AF70">
        <v>3</v>
      </c>
      <c r="AG70">
        <v>3</v>
      </c>
      <c r="AH70">
        <v>2</v>
      </c>
      <c r="AI70" t="s">
        <v>274</v>
      </c>
      <c r="AJ70" t="s">
        <v>274</v>
      </c>
      <c r="AK70">
        <v>35</v>
      </c>
      <c r="AL70">
        <v>90</v>
      </c>
      <c r="AM70" t="s">
        <v>85</v>
      </c>
      <c r="AN70" t="s">
        <v>274</v>
      </c>
      <c r="AO70" t="s">
        <v>274</v>
      </c>
      <c r="AP70" t="s">
        <v>274</v>
      </c>
      <c r="AQ70">
        <v>8</v>
      </c>
      <c r="AR70">
        <v>7</v>
      </c>
      <c r="AS70">
        <v>8</v>
      </c>
      <c r="AT70" t="s">
        <v>266</v>
      </c>
      <c r="AU70">
        <v>50</v>
      </c>
      <c r="AV70" t="s">
        <v>274</v>
      </c>
      <c r="AW70" t="s">
        <v>274</v>
      </c>
      <c r="AX70">
        <v>2</v>
      </c>
      <c r="AY70" t="s">
        <v>274</v>
      </c>
      <c r="AZ70" t="s">
        <v>274</v>
      </c>
      <c r="BA70">
        <v>2</v>
      </c>
      <c r="BB70">
        <v>3</v>
      </c>
      <c r="BC70" t="s">
        <v>274</v>
      </c>
      <c r="BD70">
        <v>2</v>
      </c>
      <c r="BE70">
        <v>7</v>
      </c>
      <c r="BF70">
        <v>35</v>
      </c>
      <c r="BG70" t="s">
        <v>86</v>
      </c>
      <c r="BH70" t="s">
        <v>281</v>
      </c>
      <c r="BI70">
        <v>2.2000000000000002</v>
      </c>
      <c r="BJ70">
        <v>2.8</v>
      </c>
      <c r="BK70">
        <v>8.1999999999999993</v>
      </c>
      <c r="BL70">
        <v>2.8</v>
      </c>
    </row>
    <row r="71" spans="1:64" x14ac:dyDescent="0.25">
      <c r="A71" t="s">
        <v>297</v>
      </c>
      <c r="B71">
        <v>27</v>
      </c>
      <c r="C71" t="s">
        <v>154</v>
      </c>
      <c r="D71" t="s">
        <v>89</v>
      </c>
      <c r="E71" t="s">
        <v>97</v>
      </c>
      <c r="F71" t="s">
        <v>163</v>
      </c>
      <c r="G71" t="s">
        <v>164</v>
      </c>
      <c r="H71" t="s">
        <v>124</v>
      </c>
      <c r="I71" t="s">
        <v>166</v>
      </c>
      <c r="J71" t="s">
        <v>193</v>
      </c>
      <c r="K71" t="s">
        <v>73</v>
      </c>
      <c r="L71">
        <v>4.5</v>
      </c>
      <c r="M71">
        <v>5</v>
      </c>
      <c r="N71" t="s">
        <v>74</v>
      </c>
      <c r="O71" t="s">
        <v>75</v>
      </c>
      <c r="P71" t="s">
        <v>100</v>
      </c>
      <c r="Q71" t="s">
        <v>101</v>
      </c>
      <c r="R71" t="s">
        <v>111</v>
      </c>
      <c r="S71" t="s">
        <v>102</v>
      </c>
      <c r="T71" t="s">
        <v>111</v>
      </c>
      <c r="U71" t="s">
        <v>80</v>
      </c>
      <c r="V71" t="s">
        <v>111</v>
      </c>
      <c r="W71" t="s">
        <v>102</v>
      </c>
      <c r="X71" t="s">
        <v>298</v>
      </c>
      <c r="Y71">
        <v>8.5</v>
      </c>
      <c r="Z71">
        <v>7</v>
      </c>
      <c r="AA71" t="s">
        <v>126</v>
      </c>
      <c r="AB71" t="s">
        <v>103</v>
      </c>
      <c r="AC71">
        <v>7.5</v>
      </c>
      <c r="AD71">
        <v>6</v>
      </c>
      <c r="AE71">
        <v>3</v>
      </c>
      <c r="AF71">
        <v>5</v>
      </c>
      <c r="AG71">
        <v>5</v>
      </c>
      <c r="AH71">
        <v>4</v>
      </c>
      <c r="AI71" t="s">
        <v>111</v>
      </c>
      <c r="AJ71" t="s">
        <v>111</v>
      </c>
      <c r="AK71">
        <v>18</v>
      </c>
      <c r="AL71">
        <v>42</v>
      </c>
      <c r="AM71" t="s">
        <v>131</v>
      </c>
      <c r="AN71" t="s">
        <v>111</v>
      </c>
      <c r="AO71" t="s">
        <v>111</v>
      </c>
      <c r="AP71" t="s">
        <v>111</v>
      </c>
      <c r="AQ71">
        <v>5</v>
      </c>
      <c r="AR71">
        <v>5</v>
      </c>
      <c r="AS71">
        <v>5</v>
      </c>
      <c r="AT71" t="s">
        <v>131</v>
      </c>
      <c r="AU71">
        <v>22</v>
      </c>
      <c r="AV71" t="s">
        <v>80</v>
      </c>
      <c r="AW71" t="s">
        <v>111</v>
      </c>
      <c r="AX71">
        <v>5</v>
      </c>
      <c r="AY71" t="s">
        <v>102</v>
      </c>
      <c r="AZ71" t="s">
        <v>111</v>
      </c>
      <c r="BA71">
        <v>5</v>
      </c>
      <c r="BB71">
        <v>5</v>
      </c>
      <c r="BC71" t="s">
        <v>111</v>
      </c>
      <c r="BD71">
        <v>5</v>
      </c>
      <c r="BE71">
        <v>4</v>
      </c>
      <c r="BF71">
        <v>14</v>
      </c>
      <c r="BG71" t="s">
        <v>86</v>
      </c>
      <c r="BH71" t="s">
        <v>171</v>
      </c>
      <c r="BI71">
        <v>5.2</v>
      </c>
      <c r="BJ71">
        <v>5.8</v>
      </c>
      <c r="BK71">
        <v>5</v>
      </c>
      <c r="BL71">
        <v>6.2</v>
      </c>
    </row>
    <row r="72" spans="1:64" x14ac:dyDescent="0.25">
      <c r="A72" t="s">
        <v>299</v>
      </c>
      <c r="B72">
        <v>31</v>
      </c>
      <c r="C72" t="s">
        <v>278</v>
      </c>
      <c r="D72" t="s">
        <v>66</v>
      </c>
      <c r="E72" t="s">
        <v>67</v>
      </c>
      <c r="F72" t="s">
        <v>68</v>
      </c>
      <c r="G72" t="s">
        <v>69</v>
      </c>
      <c r="H72" t="s">
        <v>279</v>
      </c>
      <c r="I72" t="s">
        <v>166</v>
      </c>
      <c r="J72" t="s">
        <v>72</v>
      </c>
      <c r="K72" t="s">
        <v>290</v>
      </c>
      <c r="L72">
        <v>3.5</v>
      </c>
      <c r="M72">
        <v>8</v>
      </c>
      <c r="N72" t="s">
        <v>74</v>
      </c>
      <c r="O72" t="s">
        <v>75</v>
      </c>
      <c r="P72" t="s">
        <v>273</v>
      </c>
      <c r="Q72" t="s">
        <v>101</v>
      </c>
      <c r="R72" t="s">
        <v>274</v>
      </c>
      <c r="S72" t="s">
        <v>111</v>
      </c>
      <c r="T72" t="s">
        <v>274</v>
      </c>
      <c r="U72" t="s">
        <v>80</v>
      </c>
      <c r="V72" t="s">
        <v>274</v>
      </c>
      <c r="W72" t="s">
        <v>274</v>
      </c>
      <c r="X72" t="s">
        <v>300</v>
      </c>
      <c r="Y72">
        <v>7.5</v>
      </c>
      <c r="Z72">
        <v>7.5</v>
      </c>
      <c r="AA72" t="s">
        <v>266</v>
      </c>
      <c r="AB72" t="s">
        <v>275</v>
      </c>
      <c r="AC72">
        <v>8.5</v>
      </c>
      <c r="AD72">
        <v>4</v>
      </c>
      <c r="AE72">
        <v>2</v>
      </c>
      <c r="AF72">
        <v>4</v>
      </c>
      <c r="AG72">
        <v>4</v>
      </c>
      <c r="AH72">
        <v>3</v>
      </c>
      <c r="AI72" t="s">
        <v>111</v>
      </c>
      <c r="AJ72" t="s">
        <v>274</v>
      </c>
      <c r="AK72">
        <v>26</v>
      </c>
      <c r="AL72">
        <v>65</v>
      </c>
      <c r="AM72" t="s">
        <v>85</v>
      </c>
      <c r="AN72" t="s">
        <v>274</v>
      </c>
      <c r="AO72" t="s">
        <v>111</v>
      </c>
      <c r="AP72" t="s">
        <v>274</v>
      </c>
      <c r="AQ72">
        <v>7</v>
      </c>
      <c r="AR72">
        <v>6</v>
      </c>
      <c r="AS72">
        <v>7</v>
      </c>
      <c r="AT72" t="s">
        <v>266</v>
      </c>
      <c r="AU72">
        <v>38</v>
      </c>
      <c r="AV72" t="s">
        <v>274</v>
      </c>
      <c r="AW72" t="s">
        <v>274</v>
      </c>
      <c r="AX72">
        <v>3</v>
      </c>
      <c r="AY72" t="s">
        <v>274</v>
      </c>
      <c r="AZ72" t="s">
        <v>274</v>
      </c>
      <c r="BA72">
        <v>3</v>
      </c>
      <c r="BB72">
        <v>4</v>
      </c>
      <c r="BC72" t="s">
        <v>274</v>
      </c>
      <c r="BD72">
        <v>3</v>
      </c>
      <c r="BE72">
        <v>6</v>
      </c>
      <c r="BF72">
        <v>22</v>
      </c>
      <c r="BG72" t="s">
        <v>86</v>
      </c>
      <c r="BH72" t="s">
        <v>281</v>
      </c>
      <c r="BI72">
        <v>3.5</v>
      </c>
      <c r="BJ72">
        <v>4</v>
      </c>
      <c r="BK72">
        <v>6.8</v>
      </c>
      <c r="BL72">
        <v>4.2</v>
      </c>
    </row>
    <row r="73" spans="1:64" x14ac:dyDescent="0.25">
      <c r="A73" t="s">
        <v>301</v>
      </c>
      <c r="B73">
        <v>25</v>
      </c>
      <c r="C73" t="s">
        <v>154</v>
      </c>
      <c r="D73" t="s">
        <v>89</v>
      </c>
      <c r="E73" t="s">
        <v>90</v>
      </c>
      <c r="F73" t="s">
        <v>157</v>
      </c>
      <c r="G73" t="s">
        <v>158</v>
      </c>
      <c r="H73" t="s">
        <v>124</v>
      </c>
      <c r="I73" t="s">
        <v>166</v>
      </c>
      <c r="J73" t="s">
        <v>167</v>
      </c>
      <c r="K73" t="s">
        <v>73</v>
      </c>
      <c r="L73">
        <v>5.5</v>
      </c>
      <c r="M73">
        <v>6</v>
      </c>
      <c r="N73" t="s">
        <v>75</v>
      </c>
      <c r="O73" t="s">
        <v>74</v>
      </c>
      <c r="P73" t="s">
        <v>100</v>
      </c>
      <c r="Q73" t="s">
        <v>101</v>
      </c>
      <c r="R73" t="s">
        <v>102</v>
      </c>
      <c r="S73" t="s">
        <v>102</v>
      </c>
      <c r="T73" t="s">
        <v>111</v>
      </c>
      <c r="U73" t="s">
        <v>80</v>
      </c>
      <c r="V73" t="s">
        <v>80</v>
      </c>
      <c r="W73" t="s">
        <v>102</v>
      </c>
      <c r="X73" t="s">
        <v>112</v>
      </c>
      <c r="Y73">
        <v>9.5</v>
      </c>
      <c r="Z73">
        <v>6.5</v>
      </c>
      <c r="AA73" t="s">
        <v>126</v>
      </c>
      <c r="AB73" t="s">
        <v>103</v>
      </c>
      <c r="AC73">
        <v>8</v>
      </c>
      <c r="AD73">
        <v>7</v>
      </c>
      <c r="AE73">
        <v>3</v>
      </c>
      <c r="AF73">
        <v>6</v>
      </c>
      <c r="AG73">
        <v>5</v>
      </c>
      <c r="AH73">
        <v>5</v>
      </c>
      <c r="AI73" t="s">
        <v>80</v>
      </c>
      <c r="AJ73" t="s">
        <v>111</v>
      </c>
      <c r="AK73">
        <v>15</v>
      </c>
      <c r="AL73">
        <v>35</v>
      </c>
      <c r="AM73" t="s">
        <v>131</v>
      </c>
      <c r="AN73" t="s">
        <v>111</v>
      </c>
      <c r="AO73" t="s">
        <v>80</v>
      </c>
      <c r="AP73" t="s">
        <v>111</v>
      </c>
      <c r="AQ73">
        <v>5</v>
      </c>
      <c r="AR73">
        <v>5</v>
      </c>
      <c r="AS73">
        <v>5</v>
      </c>
      <c r="AT73" t="s">
        <v>131</v>
      </c>
      <c r="AU73">
        <v>20</v>
      </c>
      <c r="AV73" t="s">
        <v>80</v>
      </c>
      <c r="AW73" t="s">
        <v>80</v>
      </c>
      <c r="AX73">
        <v>5</v>
      </c>
      <c r="AY73" t="s">
        <v>102</v>
      </c>
      <c r="AZ73" t="s">
        <v>80</v>
      </c>
      <c r="BA73">
        <v>6</v>
      </c>
      <c r="BB73">
        <v>5</v>
      </c>
      <c r="BC73" t="s">
        <v>111</v>
      </c>
      <c r="BD73">
        <v>6</v>
      </c>
      <c r="BE73">
        <v>4</v>
      </c>
      <c r="BF73">
        <v>12</v>
      </c>
      <c r="BG73" t="s">
        <v>86</v>
      </c>
      <c r="BH73" t="s">
        <v>131</v>
      </c>
      <c r="BI73">
        <v>5.8</v>
      </c>
      <c r="BJ73">
        <v>6.4</v>
      </c>
      <c r="BK73">
        <v>4.5999999999999996</v>
      </c>
      <c r="BL73">
        <v>6.8</v>
      </c>
    </row>
    <row r="74" spans="1:64" x14ac:dyDescent="0.25">
      <c r="A74" t="s">
        <v>302</v>
      </c>
      <c r="B74">
        <v>28</v>
      </c>
      <c r="C74" t="s">
        <v>278</v>
      </c>
      <c r="D74" t="s">
        <v>66</v>
      </c>
      <c r="E74" t="s">
        <v>114</v>
      </c>
      <c r="F74" t="s">
        <v>145</v>
      </c>
      <c r="G74" t="s">
        <v>146</v>
      </c>
      <c r="H74" t="s">
        <v>279</v>
      </c>
      <c r="I74" t="s">
        <v>166</v>
      </c>
      <c r="J74" t="s">
        <v>303</v>
      </c>
      <c r="K74" t="s">
        <v>143</v>
      </c>
      <c r="L74">
        <v>4.5</v>
      </c>
      <c r="M74">
        <v>7</v>
      </c>
      <c r="N74" t="s">
        <v>74</v>
      </c>
      <c r="O74" t="s">
        <v>93</v>
      </c>
      <c r="P74" t="s">
        <v>100</v>
      </c>
      <c r="Q74" t="s">
        <v>101</v>
      </c>
      <c r="R74" t="s">
        <v>111</v>
      </c>
      <c r="S74" t="s">
        <v>111</v>
      </c>
      <c r="T74" t="s">
        <v>111</v>
      </c>
      <c r="U74" t="s">
        <v>80</v>
      </c>
      <c r="V74" t="s">
        <v>111</v>
      </c>
      <c r="W74" t="s">
        <v>111</v>
      </c>
      <c r="X74" t="s">
        <v>125</v>
      </c>
      <c r="Y74">
        <v>8.5</v>
      </c>
      <c r="Z74">
        <v>7.5</v>
      </c>
      <c r="AA74" t="s">
        <v>126</v>
      </c>
      <c r="AB74" t="s">
        <v>103</v>
      </c>
      <c r="AC74">
        <v>8.5</v>
      </c>
      <c r="AD74">
        <v>5</v>
      </c>
      <c r="AE74">
        <v>3</v>
      </c>
      <c r="AF74">
        <v>5</v>
      </c>
      <c r="AG74">
        <v>6</v>
      </c>
      <c r="AH74">
        <v>5</v>
      </c>
      <c r="AI74" t="s">
        <v>111</v>
      </c>
      <c r="AJ74" t="s">
        <v>111</v>
      </c>
      <c r="AK74">
        <v>20</v>
      </c>
      <c r="AL74">
        <v>48</v>
      </c>
      <c r="AM74" t="s">
        <v>131</v>
      </c>
      <c r="AN74" t="s">
        <v>111</v>
      </c>
      <c r="AO74" t="s">
        <v>111</v>
      </c>
      <c r="AP74" t="s">
        <v>111</v>
      </c>
      <c r="AQ74">
        <v>5</v>
      </c>
      <c r="AR74">
        <v>5</v>
      </c>
      <c r="AS74">
        <v>5</v>
      </c>
      <c r="AT74" t="s">
        <v>131</v>
      </c>
      <c r="AU74">
        <v>26</v>
      </c>
      <c r="AV74" t="s">
        <v>80</v>
      </c>
      <c r="AW74" t="s">
        <v>111</v>
      </c>
      <c r="AX74">
        <v>5</v>
      </c>
      <c r="AY74" t="s">
        <v>111</v>
      </c>
      <c r="AZ74" t="s">
        <v>111</v>
      </c>
      <c r="BA74">
        <v>5</v>
      </c>
      <c r="BB74">
        <v>5</v>
      </c>
      <c r="BC74" t="s">
        <v>111</v>
      </c>
      <c r="BD74">
        <v>5</v>
      </c>
      <c r="BE74">
        <v>4</v>
      </c>
      <c r="BF74">
        <v>15</v>
      </c>
      <c r="BG74" t="s">
        <v>152</v>
      </c>
      <c r="BH74" t="s">
        <v>171</v>
      </c>
      <c r="BI74">
        <v>5</v>
      </c>
      <c r="BJ74">
        <v>5.6</v>
      </c>
      <c r="BK74">
        <v>5.0999999999999996</v>
      </c>
      <c r="BL74">
        <v>6</v>
      </c>
    </row>
    <row r="75" spans="1:64" x14ac:dyDescent="0.25">
      <c r="A75" t="s">
        <v>304</v>
      </c>
      <c r="B75">
        <v>33</v>
      </c>
      <c r="C75" t="s">
        <v>278</v>
      </c>
      <c r="D75" t="s">
        <v>89</v>
      </c>
      <c r="E75" t="s">
        <v>107</v>
      </c>
      <c r="F75" t="s">
        <v>108</v>
      </c>
      <c r="G75" t="s">
        <v>109</v>
      </c>
      <c r="H75" t="s">
        <v>279</v>
      </c>
      <c r="I75" t="s">
        <v>166</v>
      </c>
      <c r="J75" t="s">
        <v>242</v>
      </c>
      <c r="K75" t="s">
        <v>290</v>
      </c>
      <c r="L75">
        <v>2.5</v>
      </c>
      <c r="M75">
        <v>9</v>
      </c>
      <c r="N75" t="s">
        <v>272</v>
      </c>
      <c r="O75" t="s">
        <v>130</v>
      </c>
      <c r="P75" t="s">
        <v>273</v>
      </c>
      <c r="Q75" t="s">
        <v>295</v>
      </c>
      <c r="R75" t="s">
        <v>274</v>
      </c>
      <c r="S75" t="s">
        <v>274</v>
      </c>
      <c r="T75" t="s">
        <v>274</v>
      </c>
      <c r="U75" t="s">
        <v>286</v>
      </c>
      <c r="V75" t="s">
        <v>274</v>
      </c>
      <c r="W75" t="s">
        <v>274</v>
      </c>
      <c r="X75" t="s">
        <v>305</v>
      </c>
      <c r="Y75">
        <v>6.5</v>
      </c>
      <c r="Z75">
        <v>8</v>
      </c>
      <c r="AA75" t="s">
        <v>266</v>
      </c>
      <c r="AB75" t="s">
        <v>275</v>
      </c>
      <c r="AC75">
        <v>9.5</v>
      </c>
      <c r="AD75">
        <v>3</v>
      </c>
      <c r="AE75">
        <v>2</v>
      </c>
      <c r="AF75">
        <v>3</v>
      </c>
      <c r="AG75">
        <v>3</v>
      </c>
      <c r="AH75">
        <v>2</v>
      </c>
      <c r="AI75" t="s">
        <v>274</v>
      </c>
      <c r="AJ75" t="s">
        <v>274</v>
      </c>
      <c r="AK75">
        <v>35</v>
      </c>
      <c r="AL75">
        <v>90</v>
      </c>
      <c r="AM75" t="s">
        <v>85</v>
      </c>
      <c r="AN75" t="s">
        <v>274</v>
      </c>
      <c r="AO75" t="s">
        <v>274</v>
      </c>
      <c r="AP75" t="s">
        <v>274</v>
      </c>
      <c r="AQ75">
        <v>8</v>
      </c>
      <c r="AR75">
        <v>7</v>
      </c>
      <c r="AS75">
        <v>8</v>
      </c>
      <c r="AT75" t="s">
        <v>266</v>
      </c>
      <c r="AU75">
        <v>48</v>
      </c>
      <c r="AV75" t="s">
        <v>274</v>
      </c>
      <c r="AW75" t="s">
        <v>274</v>
      </c>
      <c r="AX75">
        <v>2</v>
      </c>
      <c r="AY75" t="s">
        <v>274</v>
      </c>
      <c r="AZ75" t="s">
        <v>274</v>
      </c>
      <c r="BA75">
        <v>2</v>
      </c>
      <c r="BB75">
        <v>2</v>
      </c>
      <c r="BC75" t="s">
        <v>274</v>
      </c>
      <c r="BD75">
        <v>2</v>
      </c>
      <c r="BE75">
        <v>7</v>
      </c>
      <c r="BF75">
        <v>40</v>
      </c>
      <c r="BG75" t="s">
        <v>306</v>
      </c>
      <c r="BH75" t="s">
        <v>281</v>
      </c>
      <c r="BI75">
        <v>2</v>
      </c>
      <c r="BJ75">
        <v>2.6</v>
      </c>
      <c r="BK75">
        <v>8.5</v>
      </c>
      <c r="BL75">
        <v>2.5</v>
      </c>
    </row>
    <row r="76" spans="1:64" x14ac:dyDescent="0.25">
      <c r="A76" t="s">
        <v>307</v>
      </c>
      <c r="B76">
        <v>29</v>
      </c>
      <c r="C76" t="s">
        <v>278</v>
      </c>
      <c r="D76" t="s">
        <v>66</v>
      </c>
      <c r="E76" t="s">
        <v>149</v>
      </c>
      <c r="F76" t="s">
        <v>198</v>
      </c>
      <c r="G76" t="s">
        <v>199</v>
      </c>
      <c r="H76" t="s">
        <v>124</v>
      </c>
      <c r="I76" t="s">
        <v>166</v>
      </c>
      <c r="J76" t="s">
        <v>72</v>
      </c>
      <c r="K76" t="s">
        <v>143</v>
      </c>
      <c r="L76">
        <v>4</v>
      </c>
      <c r="M76">
        <v>6</v>
      </c>
      <c r="N76" t="s">
        <v>74</v>
      </c>
      <c r="O76" t="s">
        <v>75</v>
      </c>
      <c r="P76" t="s">
        <v>100</v>
      </c>
      <c r="Q76" t="s">
        <v>101</v>
      </c>
      <c r="R76" t="s">
        <v>111</v>
      </c>
      <c r="S76" t="s">
        <v>111</v>
      </c>
      <c r="T76" t="s">
        <v>111</v>
      </c>
      <c r="U76" t="s">
        <v>80</v>
      </c>
      <c r="V76" t="s">
        <v>111</v>
      </c>
      <c r="W76" t="s">
        <v>111</v>
      </c>
      <c r="X76" t="s">
        <v>308</v>
      </c>
      <c r="Y76">
        <v>8</v>
      </c>
      <c r="Z76">
        <v>7.5</v>
      </c>
      <c r="AA76" t="s">
        <v>266</v>
      </c>
      <c r="AB76" t="s">
        <v>103</v>
      </c>
      <c r="AC76">
        <v>8</v>
      </c>
      <c r="AD76">
        <v>5</v>
      </c>
      <c r="AE76">
        <v>3</v>
      </c>
      <c r="AF76">
        <v>5</v>
      </c>
      <c r="AG76">
        <v>5</v>
      </c>
      <c r="AH76">
        <v>4</v>
      </c>
      <c r="AI76" t="s">
        <v>111</v>
      </c>
      <c r="AJ76" t="s">
        <v>111</v>
      </c>
      <c r="AK76">
        <v>22</v>
      </c>
      <c r="AL76">
        <v>54</v>
      </c>
      <c r="AM76" t="s">
        <v>131</v>
      </c>
      <c r="AN76" t="s">
        <v>111</v>
      </c>
      <c r="AO76" t="s">
        <v>111</v>
      </c>
      <c r="AP76" t="s">
        <v>274</v>
      </c>
      <c r="AQ76">
        <v>5</v>
      </c>
      <c r="AR76">
        <v>5</v>
      </c>
      <c r="AS76">
        <v>5</v>
      </c>
      <c r="AT76" t="s">
        <v>131</v>
      </c>
      <c r="AU76">
        <v>28</v>
      </c>
      <c r="AV76" t="s">
        <v>111</v>
      </c>
      <c r="AW76" t="s">
        <v>111</v>
      </c>
      <c r="AX76">
        <v>4</v>
      </c>
      <c r="AY76" t="s">
        <v>111</v>
      </c>
      <c r="AZ76" t="s">
        <v>111</v>
      </c>
      <c r="BA76">
        <v>4</v>
      </c>
      <c r="BB76">
        <v>4</v>
      </c>
      <c r="BC76" t="s">
        <v>111</v>
      </c>
      <c r="BD76">
        <v>4</v>
      </c>
      <c r="BE76">
        <v>5</v>
      </c>
      <c r="BF76">
        <v>18</v>
      </c>
      <c r="BG76" t="s">
        <v>117</v>
      </c>
      <c r="BH76" t="s">
        <v>171</v>
      </c>
      <c r="BI76">
        <v>4.8</v>
      </c>
      <c r="BJ76">
        <v>5.4</v>
      </c>
      <c r="BK76">
        <v>5.4</v>
      </c>
      <c r="BL76">
        <v>5.8</v>
      </c>
    </row>
    <row r="77" spans="1:64" x14ac:dyDescent="0.25">
      <c r="A77" t="s">
        <v>309</v>
      </c>
      <c r="B77">
        <v>35</v>
      </c>
      <c r="C77" t="s">
        <v>278</v>
      </c>
      <c r="D77" t="s">
        <v>89</v>
      </c>
      <c r="E77" t="s">
        <v>90</v>
      </c>
      <c r="F77" t="s">
        <v>91</v>
      </c>
      <c r="G77" t="s">
        <v>92</v>
      </c>
      <c r="H77" t="s">
        <v>279</v>
      </c>
      <c r="I77" t="s">
        <v>166</v>
      </c>
      <c r="J77" t="s">
        <v>167</v>
      </c>
      <c r="K77" t="s">
        <v>290</v>
      </c>
      <c r="L77">
        <v>2</v>
      </c>
      <c r="M77">
        <v>10</v>
      </c>
      <c r="N77" t="s">
        <v>168</v>
      </c>
      <c r="O77" t="s">
        <v>272</v>
      </c>
      <c r="P77" t="s">
        <v>273</v>
      </c>
      <c r="Q77" t="s">
        <v>295</v>
      </c>
      <c r="R77" t="s">
        <v>274</v>
      </c>
      <c r="S77" t="s">
        <v>274</v>
      </c>
      <c r="T77" t="s">
        <v>274</v>
      </c>
      <c r="U77" t="s">
        <v>286</v>
      </c>
      <c r="V77" t="s">
        <v>274</v>
      </c>
      <c r="W77" t="s">
        <v>274</v>
      </c>
      <c r="X77" t="s">
        <v>305</v>
      </c>
      <c r="Y77">
        <v>6</v>
      </c>
      <c r="Z77">
        <v>8.5</v>
      </c>
      <c r="AA77" t="s">
        <v>266</v>
      </c>
      <c r="AB77" t="s">
        <v>78</v>
      </c>
      <c r="AC77">
        <v>9.5</v>
      </c>
      <c r="AD77">
        <v>3</v>
      </c>
      <c r="AE77">
        <v>2</v>
      </c>
      <c r="AF77">
        <v>3</v>
      </c>
      <c r="AG77">
        <v>2</v>
      </c>
      <c r="AH77">
        <v>2</v>
      </c>
      <c r="AI77" t="s">
        <v>274</v>
      </c>
      <c r="AJ77" t="s">
        <v>274</v>
      </c>
      <c r="AK77">
        <v>38</v>
      </c>
      <c r="AL77">
        <v>95</v>
      </c>
      <c r="AM77" t="s">
        <v>85</v>
      </c>
      <c r="AN77" t="s">
        <v>274</v>
      </c>
      <c r="AO77" t="s">
        <v>274</v>
      </c>
      <c r="AP77" t="s">
        <v>274</v>
      </c>
      <c r="AQ77">
        <v>9</v>
      </c>
      <c r="AR77">
        <v>8</v>
      </c>
      <c r="AS77">
        <v>9</v>
      </c>
      <c r="AT77" t="s">
        <v>266</v>
      </c>
      <c r="AU77">
        <v>55</v>
      </c>
      <c r="AV77" t="s">
        <v>274</v>
      </c>
      <c r="AW77" t="s">
        <v>274</v>
      </c>
      <c r="AX77">
        <v>2</v>
      </c>
      <c r="AY77" t="s">
        <v>274</v>
      </c>
      <c r="AZ77" t="s">
        <v>274</v>
      </c>
      <c r="BA77">
        <v>2</v>
      </c>
      <c r="BB77">
        <v>2</v>
      </c>
      <c r="BC77" t="s">
        <v>274</v>
      </c>
      <c r="BD77">
        <v>2</v>
      </c>
      <c r="BE77">
        <v>8</v>
      </c>
      <c r="BF77">
        <v>45</v>
      </c>
      <c r="BG77" t="s">
        <v>306</v>
      </c>
      <c r="BH77" t="s">
        <v>281</v>
      </c>
      <c r="BI77">
        <v>1.8</v>
      </c>
      <c r="BJ77">
        <v>2.4</v>
      </c>
      <c r="BK77">
        <v>8.8000000000000007</v>
      </c>
      <c r="BL77">
        <v>2.2000000000000002</v>
      </c>
    </row>
    <row r="78" spans="1:64" x14ac:dyDescent="0.25">
      <c r="A78" t="s">
        <v>310</v>
      </c>
      <c r="B78">
        <v>27</v>
      </c>
      <c r="C78" t="s">
        <v>154</v>
      </c>
      <c r="D78" t="s">
        <v>66</v>
      </c>
      <c r="E78" t="s">
        <v>107</v>
      </c>
      <c r="F78" t="s">
        <v>190</v>
      </c>
      <c r="G78" t="s">
        <v>191</v>
      </c>
      <c r="H78" t="s">
        <v>279</v>
      </c>
      <c r="I78" t="s">
        <v>166</v>
      </c>
      <c r="J78" t="s">
        <v>311</v>
      </c>
      <c r="K78" t="s">
        <v>73</v>
      </c>
      <c r="L78">
        <v>3.5</v>
      </c>
      <c r="M78">
        <v>7</v>
      </c>
      <c r="N78" t="s">
        <v>74</v>
      </c>
      <c r="O78" t="s">
        <v>130</v>
      </c>
      <c r="P78" t="s">
        <v>273</v>
      </c>
      <c r="Q78" t="s">
        <v>101</v>
      </c>
      <c r="R78" t="s">
        <v>111</v>
      </c>
      <c r="S78" t="s">
        <v>111</v>
      </c>
      <c r="T78" t="s">
        <v>274</v>
      </c>
      <c r="U78" t="s">
        <v>80</v>
      </c>
      <c r="V78" t="s">
        <v>274</v>
      </c>
      <c r="W78" t="s">
        <v>111</v>
      </c>
      <c r="X78" t="s">
        <v>280</v>
      </c>
      <c r="Y78">
        <v>7.5</v>
      </c>
      <c r="Z78">
        <v>7.5</v>
      </c>
      <c r="AA78" t="s">
        <v>266</v>
      </c>
      <c r="AB78" t="s">
        <v>275</v>
      </c>
      <c r="AC78">
        <v>9</v>
      </c>
      <c r="AD78">
        <v>4</v>
      </c>
      <c r="AE78">
        <v>2</v>
      </c>
      <c r="AF78">
        <v>4</v>
      </c>
      <c r="AG78">
        <v>4</v>
      </c>
      <c r="AH78">
        <v>3</v>
      </c>
      <c r="AI78" t="s">
        <v>111</v>
      </c>
      <c r="AJ78" t="s">
        <v>274</v>
      </c>
      <c r="AK78">
        <v>26</v>
      </c>
      <c r="AL78">
        <v>65</v>
      </c>
      <c r="AM78" t="s">
        <v>85</v>
      </c>
      <c r="AN78" t="s">
        <v>274</v>
      </c>
      <c r="AO78" t="s">
        <v>111</v>
      </c>
      <c r="AP78" t="s">
        <v>274</v>
      </c>
      <c r="AQ78">
        <v>7</v>
      </c>
      <c r="AR78">
        <v>6</v>
      </c>
      <c r="AS78">
        <v>7</v>
      </c>
      <c r="AT78" t="s">
        <v>266</v>
      </c>
      <c r="AU78">
        <v>38</v>
      </c>
      <c r="AV78" t="s">
        <v>274</v>
      </c>
      <c r="AW78" t="s">
        <v>274</v>
      </c>
      <c r="AX78">
        <v>3</v>
      </c>
      <c r="AY78" t="s">
        <v>274</v>
      </c>
      <c r="AZ78" t="s">
        <v>274</v>
      </c>
      <c r="BA78">
        <v>3</v>
      </c>
      <c r="BB78">
        <v>3</v>
      </c>
      <c r="BC78" t="s">
        <v>274</v>
      </c>
      <c r="BD78">
        <v>3</v>
      </c>
      <c r="BE78">
        <v>6</v>
      </c>
      <c r="BF78">
        <v>25</v>
      </c>
      <c r="BG78" t="s">
        <v>86</v>
      </c>
      <c r="BH78" t="s">
        <v>281</v>
      </c>
      <c r="BI78">
        <v>3.2</v>
      </c>
      <c r="BJ78">
        <v>3.8</v>
      </c>
      <c r="BK78">
        <v>7</v>
      </c>
      <c r="BL78">
        <v>4</v>
      </c>
    </row>
    <row r="79" spans="1:64" x14ac:dyDescent="0.25">
      <c r="A79" t="s">
        <v>312</v>
      </c>
      <c r="B79">
        <v>30</v>
      </c>
      <c r="C79" t="s">
        <v>278</v>
      </c>
      <c r="D79" t="s">
        <v>89</v>
      </c>
      <c r="E79" t="s">
        <v>67</v>
      </c>
      <c r="F79" t="s">
        <v>68</v>
      </c>
      <c r="G79" t="s">
        <v>69</v>
      </c>
      <c r="H79" t="s">
        <v>279</v>
      </c>
      <c r="I79" t="s">
        <v>166</v>
      </c>
      <c r="J79" t="s">
        <v>167</v>
      </c>
      <c r="K79" t="s">
        <v>143</v>
      </c>
      <c r="L79">
        <v>4.5</v>
      </c>
      <c r="M79">
        <v>8</v>
      </c>
      <c r="N79" t="s">
        <v>74</v>
      </c>
      <c r="O79" t="s">
        <v>272</v>
      </c>
      <c r="P79" t="s">
        <v>100</v>
      </c>
      <c r="Q79" t="s">
        <v>101</v>
      </c>
      <c r="R79" t="s">
        <v>111</v>
      </c>
      <c r="S79" t="s">
        <v>102</v>
      </c>
      <c r="T79" t="s">
        <v>111</v>
      </c>
      <c r="U79" t="s">
        <v>80</v>
      </c>
      <c r="V79" t="s">
        <v>111</v>
      </c>
      <c r="W79" t="s">
        <v>102</v>
      </c>
      <c r="X79" t="s">
        <v>313</v>
      </c>
      <c r="Y79">
        <v>8.5</v>
      </c>
      <c r="Z79">
        <v>7</v>
      </c>
      <c r="AA79" t="s">
        <v>126</v>
      </c>
      <c r="AB79" t="s">
        <v>103</v>
      </c>
      <c r="AC79">
        <v>9</v>
      </c>
      <c r="AD79">
        <v>5</v>
      </c>
      <c r="AE79">
        <v>3</v>
      </c>
      <c r="AF79">
        <v>5</v>
      </c>
      <c r="AG79">
        <v>5</v>
      </c>
      <c r="AH79">
        <v>4</v>
      </c>
      <c r="AI79" t="s">
        <v>111</v>
      </c>
      <c r="AJ79" t="s">
        <v>111</v>
      </c>
      <c r="AK79">
        <v>20</v>
      </c>
      <c r="AL79">
        <v>48</v>
      </c>
      <c r="AM79" t="s">
        <v>131</v>
      </c>
      <c r="AN79" t="s">
        <v>111</v>
      </c>
      <c r="AO79" t="s">
        <v>111</v>
      </c>
      <c r="AP79" t="s">
        <v>111</v>
      </c>
      <c r="AQ79">
        <v>5</v>
      </c>
      <c r="AR79">
        <v>5</v>
      </c>
      <c r="AS79">
        <v>5</v>
      </c>
      <c r="AT79" t="s">
        <v>131</v>
      </c>
      <c r="AU79">
        <v>26</v>
      </c>
      <c r="AV79" t="s">
        <v>80</v>
      </c>
      <c r="AW79" t="s">
        <v>111</v>
      </c>
      <c r="AX79">
        <v>5</v>
      </c>
      <c r="AY79" t="s">
        <v>111</v>
      </c>
      <c r="AZ79" t="s">
        <v>111</v>
      </c>
      <c r="BA79">
        <v>5</v>
      </c>
      <c r="BB79">
        <v>5</v>
      </c>
      <c r="BC79" t="s">
        <v>111</v>
      </c>
      <c r="BD79">
        <v>5</v>
      </c>
      <c r="BE79">
        <v>4</v>
      </c>
      <c r="BF79">
        <v>14</v>
      </c>
      <c r="BG79" t="s">
        <v>86</v>
      </c>
      <c r="BH79" t="s">
        <v>171</v>
      </c>
      <c r="BI79">
        <v>5.2</v>
      </c>
      <c r="BJ79">
        <v>5.8</v>
      </c>
      <c r="BK79">
        <v>5</v>
      </c>
      <c r="BL79">
        <v>6.2</v>
      </c>
    </row>
    <row r="80" spans="1:64" x14ac:dyDescent="0.25">
      <c r="A80" t="s">
        <v>314</v>
      </c>
      <c r="B80">
        <v>26</v>
      </c>
      <c r="C80" t="s">
        <v>154</v>
      </c>
      <c r="D80" t="s">
        <v>66</v>
      </c>
      <c r="E80" t="s">
        <v>97</v>
      </c>
      <c r="F80" t="s">
        <v>138</v>
      </c>
      <c r="G80" t="s">
        <v>139</v>
      </c>
      <c r="H80" t="s">
        <v>124</v>
      </c>
      <c r="I80" t="s">
        <v>166</v>
      </c>
      <c r="J80" t="s">
        <v>315</v>
      </c>
      <c r="K80" t="s">
        <v>73</v>
      </c>
      <c r="L80">
        <v>4</v>
      </c>
      <c r="M80">
        <v>5</v>
      </c>
      <c r="N80" t="s">
        <v>135</v>
      </c>
      <c r="O80" t="s">
        <v>74</v>
      </c>
      <c r="P80" t="s">
        <v>100</v>
      </c>
      <c r="Q80" t="s">
        <v>101</v>
      </c>
      <c r="R80" t="s">
        <v>111</v>
      </c>
      <c r="S80" t="s">
        <v>111</v>
      </c>
      <c r="T80" t="s">
        <v>111</v>
      </c>
      <c r="U80" t="s">
        <v>80</v>
      </c>
      <c r="V80" t="s">
        <v>111</v>
      </c>
      <c r="W80" t="s">
        <v>111</v>
      </c>
      <c r="X80" t="s">
        <v>316</v>
      </c>
      <c r="Y80">
        <v>8</v>
      </c>
      <c r="Z80">
        <v>7.5</v>
      </c>
      <c r="AA80" t="s">
        <v>266</v>
      </c>
      <c r="AB80" t="s">
        <v>103</v>
      </c>
      <c r="AC80">
        <v>8</v>
      </c>
      <c r="AD80">
        <v>5</v>
      </c>
      <c r="AE80">
        <v>2</v>
      </c>
      <c r="AF80">
        <v>5</v>
      </c>
      <c r="AG80">
        <v>4</v>
      </c>
      <c r="AH80">
        <v>4</v>
      </c>
      <c r="AI80" t="s">
        <v>111</v>
      </c>
      <c r="AJ80" t="s">
        <v>111</v>
      </c>
      <c r="AK80">
        <v>22</v>
      </c>
      <c r="AL80">
        <v>55</v>
      </c>
      <c r="AM80" t="s">
        <v>85</v>
      </c>
      <c r="AN80" t="s">
        <v>111</v>
      </c>
      <c r="AO80" t="s">
        <v>274</v>
      </c>
      <c r="AP80" t="s">
        <v>274</v>
      </c>
      <c r="AQ80">
        <v>6</v>
      </c>
      <c r="AR80">
        <v>6</v>
      </c>
      <c r="AS80">
        <v>6</v>
      </c>
      <c r="AT80" t="s">
        <v>266</v>
      </c>
      <c r="AU80">
        <v>30</v>
      </c>
      <c r="AV80" t="s">
        <v>111</v>
      </c>
      <c r="AW80" t="s">
        <v>274</v>
      </c>
      <c r="AX80">
        <v>4</v>
      </c>
      <c r="AY80" t="s">
        <v>274</v>
      </c>
      <c r="AZ80" t="s">
        <v>111</v>
      </c>
      <c r="BA80">
        <v>4</v>
      </c>
      <c r="BB80">
        <v>4</v>
      </c>
      <c r="BC80" t="s">
        <v>274</v>
      </c>
      <c r="BD80">
        <v>4</v>
      </c>
      <c r="BE80">
        <v>5</v>
      </c>
      <c r="BF80">
        <v>18</v>
      </c>
      <c r="BG80" t="s">
        <v>117</v>
      </c>
      <c r="BH80" t="s">
        <v>171</v>
      </c>
      <c r="BI80">
        <v>4.5</v>
      </c>
      <c r="BJ80">
        <v>5</v>
      </c>
      <c r="BK80">
        <v>5.8</v>
      </c>
      <c r="BL80">
        <v>5.5</v>
      </c>
    </row>
    <row r="81" spans="1:64" x14ac:dyDescent="0.25">
      <c r="A81" t="s">
        <v>317</v>
      </c>
      <c r="B81">
        <v>34</v>
      </c>
      <c r="C81" t="s">
        <v>278</v>
      </c>
      <c r="D81" t="s">
        <v>89</v>
      </c>
      <c r="E81" t="s">
        <v>107</v>
      </c>
      <c r="F81" t="s">
        <v>122</v>
      </c>
      <c r="G81" t="s">
        <v>123</v>
      </c>
      <c r="H81" t="s">
        <v>279</v>
      </c>
      <c r="I81" t="s">
        <v>166</v>
      </c>
      <c r="J81" t="s">
        <v>242</v>
      </c>
      <c r="K81" t="s">
        <v>290</v>
      </c>
      <c r="L81">
        <v>2.5</v>
      </c>
      <c r="M81">
        <v>9</v>
      </c>
      <c r="N81" t="s">
        <v>272</v>
      </c>
      <c r="O81" t="s">
        <v>130</v>
      </c>
      <c r="P81" t="s">
        <v>273</v>
      </c>
      <c r="Q81" t="s">
        <v>295</v>
      </c>
      <c r="R81" t="s">
        <v>274</v>
      </c>
      <c r="S81" t="s">
        <v>274</v>
      </c>
      <c r="T81" t="s">
        <v>274</v>
      </c>
      <c r="U81" t="s">
        <v>286</v>
      </c>
      <c r="V81" t="s">
        <v>274</v>
      </c>
      <c r="W81" t="s">
        <v>274</v>
      </c>
      <c r="X81" t="s">
        <v>318</v>
      </c>
      <c r="Y81">
        <v>6.5</v>
      </c>
      <c r="Z81">
        <v>8</v>
      </c>
      <c r="AA81" t="s">
        <v>266</v>
      </c>
      <c r="AB81" t="s">
        <v>275</v>
      </c>
      <c r="AC81">
        <v>9.5</v>
      </c>
      <c r="AD81">
        <v>3</v>
      </c>
      <c r="AE81">
        <v>2</v>
      </c>
      <c r="AF81">
        <v>3</v>
      </c>
      <c r="AG81">
        <v>3</v>
      </c>
      <c r="AH81">
        <v>2</v>
      </c>
      <c r="AI81" t="s">
        <v>274</v>
      </c>
      <c r="AJ81" t="s">
        <v>274</v>
      </c>
      <c r="AK81">
        <v>35</v>
      </c>
      <c r="AL81">
        <v>90</v>
      </c>
      <c r="AM81" t="s">
        <v>85</v>
      </c>
      <c r="AN81" t="s">
        <v>274</v>
      </c>
      <c r="AO81" t="s">
        <v>274</v>
      </c>
      <c r="AP81" t="s">
        <v>274</v>
      </c>
      <c r="AQ81">
        <v>8</v>
      </c>
      <c r="AR81">
        <v>7</v>
      </c>
      <c r="AS81">
        <v>8</v>
      </c>
      <c r="AT81" t="s">
        <v>266</v>
      </c>
      <c r="AU81">
        <v>50</v>
      </c>
      <c r="AV81" t="s">
        <v>274</v>
      </c>
      <c r="AW81" t="s">
        <v>274</v>
      </c>
      <c r="AX81">
        <v>2</v>
      </c>
      <c r="AY81" t="s">
        <v>274</v>
      </c>
      <c r="AZ81" t="s">
        <v>274</v>
      </c>
      <c r="BA81">
        <v>2</v>
      </c>
      <c r="BB81">
        <v>2</v>
      </c>
      <c r="BC81" t="s">
        <v>274</v>
      </c>
      <c r="BD81">
        <v>2</v>
      </c>
      <c r="BE81">
        <v>7</v>
      </c>
      <c r="BF81">
        <v>42</v>
      </c>
      <c r="BG81" t="s">
        <v>306</v>
      </c>
      <c r="BH81" t="s">
        <v>281</v>
      </c>
      <c r="BI81">
        <v>2</v>
      </c>
      <c r="BJ81">
        <v>2.6</v>
      </c>
      <c r="BK81">
        <v>8.5</v>
      </c>
      <c r="BL81">
        <v>2.5</v>
      </c>
    </row>
    <row r="82" spans="1:64" x14ac:dyDescent="0.25">
      <c r="A82" t="s">
        <v>319</v>
      </c>
      <c r="B82">
        <v>28</v>
      </c>
      <c r="C82" t="s">
        <v>278</v>
      </c>
      <c r="D82" t="s">
        <v>66</v>
      </c>
      <c r="E82" t="s">
        <v>90</v>
      </c>
      <c r="F82" t="s">
        <v>222</v>
      </c>
      <c r="G82" t="s">
        <v>223</v>
      </c>
      <c r="H82" t="s">
        <v>124</v>
      </c>
      <c r="I82" t="s">
        <v>166</v>
      </c>
      <c r="J82" t="s">
        <v>179</v>
      </c>
      <c r="K82" t="s">
        <v>143</v>
      </c>
      <c r="L82">
        <v>5</v>
      </c>
      <c r="M82">
        <v>6</v>
      </c>
      <c r="N82" t="s">
        <v>93</v>
      </c>
      <c r="O82" t="s">
        <v>135</v>
      </c>
      <c r="P82" t="s">
        <v>100</v>
      </c>
      <c r="Q82" t="s">
        <v>101</v>
      </c>
      <c r="R82" t="s">
        <v>111</v>
      </c>
      <c r="S82" t="s">
        <v>102</v>
      </c>
      <c r="T82" t="s">
        <v>111</v>
      </c>
      <c r="U82" t="s">
        <v>80</v>
      </c>
      <c r="V82" t="s">
        <v>111</v>
      </c>
      <c r="W82" t="s">
        <v>102</v>
      </c>
      <c r="X82" t="s">
        <v>320</v>
      </c>
      <c r="Y82">
        <v>9</v>
      </c>
      <c r="Z82">
        <v>7</v>
      </c>
      <c r="AA82" t="s">
        <v>126</v>
      </c>
      <c r="AB82" t="s">
        <v>103</v>
      </c>
      <c r="AC82">
        <v>7.5</v>
      </c>
      <c r="AD82">
        <v>6</v>
      </c>
      <c r="AE82">
        <v>3</v>
      </c>
      <c r="AF82">
        <v>5</v>
      </c>
      <c r="AG82">
        <v>5</v>
      </c>
      <c r="AH82">
        <v>5</v>
      </c>
      <c r="AI82" t="s">
        <v>111</v>
      </c>
      <c r="AJ82" t="s">
        <v>111</v>
      </c>
      <c r="AK82">
        <v>18</v>
      </c>
      <c r="AL82">
        <v>42</v>
      </c>
      <c r="AM82" t="s">
        <v>131</v>
      </c>
      <c r="AN82" t="s">
        <v>111</v>
      </c>
      <c r="AO82" t="s">
        <v>111</v>
      </c>
      <c r="AP82" t="s">
        <v>111</v>
      </c>
      <c r="AQ82">
        <v>5</v>
      </c>
      <c r="AR82">
        <v>5</v>
      </c>
      <c r="AS82">
        <v>5</v>
      </c>
      <c r="AT82" t="s">
        <v>131</v>
      </c>
      <c r="AU82">
        <v>22</v>
      </c>
      <c r="AV82" t="s">
        <v>80</v>
      </c>
      <c r="AW82" t="s">
        <v>111</v>
      </c>
      <c r="AX82">
        <v>5</v>
      </c>
      <c r="AY82" t="s">
        <v>102</v>
      </c>
      <c r="AZ82" t="s">
        <v>111</v>
      </c>
      <c r="BA82">
        <v>5</v>
      </c>
      <c r="BB82">
        <v>5</v>
      </c>
      <c r="BC82" t="s">
        <v>111</v>
      </c>
      <c r="BD82">
        <v>5</v>
      </c>
      <c r="BE82">
        <v>4</v>
      </c>
      <c r="BF82">
        <v>12</v>
      </c>
      <c r="BG82" t="s">
        <v>86</v>
      </c>
      <c r="BH82" t="s">
        <v>171</v>
      </c>
      <c r="BI82">
        <v>5.5</v>
      </c>
      <c r="BJ82">
        <v>6</v>
      </c>
      <c r="BK82">
        <v>4.8</v>
      </c>
      <c r="BL82">
        <v>6.5</v>
      </c>
    </row>
    <row r="83" spans="1:64" x14ac:dyDescent="0.25">
      <c r="A83" t="s">
        <v>321</v>
      </c>
      <c r="B83">
        <v>25</v>
      </c>
      <c r="C83" t="s">
        <v>154</v>
      </c>
      <c r="D83" t="s">
        <v>89</v>
      </c>
      <c r="E83" t="s">
        <v>114</v>
      </c>
      <c r="F83" t="s">
        <v>173</v>
      </c>
      <c r="G83" t="s">
        <v>174</v>
      </c>
      <c r="H83" t="s">
        <v>124</v>
      </c>
      <c r="I83" t="s">
        <v>166</v>
      </c>
      <c r="J83" t="s">
        <v>250</v>
      </c>
      <c r="K83" t="s">
        <v>73</v>
      </c>
      <c r="L83">
        <v>4.5</v>
      </c>
      <c r="M83">
        <v>5</v>
      </c>
      <c r="N83" t="s">
        <v>74</v>
      </c>
      <c r="O83" t="s">
        <v>75</v>
      </c>
      <c r="P83" t="s">
        <v>100</v>
      </c>
      <c r="Q83" t="s">
        <v>101</v>
      </c>
      <c r="R83" t="s">
        <v>111</v>
      </c>
      <c r="S83" t="s">
        <v>102</v>
      </c>
      <c r="T83" t="s">
        <v>111</v>
      </c>
      <c r="U83" t="s">
        <v>80</v>
      </c>
      <c r="V83" t="s">
        <v>111</v>
      </c>
      <c r="W83" t="s">
        <v>102</v>
      </c>
      <c r="X83" t="s">
        <v>322</v>
      </c>
      <c r="Y83">
        <v>8.5</v>
      </c>
      <c r="Z83">
        <v>7</v>
      </c>
      <c r="AA83" t="s">
        <v>126</v>
      </c>
      <c r="AB83" t="s">
        <v>103</v>
      </c>
      <c r="AC83">
        <v>8</v>
      </c>
      <c r="AD83">
        <v>6</v>
      </c>
      <c r="AE83">
        <v>3</v>
      </c>
      <c r="AF83">
        <v>5</v>
      </c>
      <c r="AG83">
        <v>5</v>
      </c>
      <c r="AH83">
        <v>4</v>
      </c>
      <c r="AI83" t="s">
        <v>111</v>
      </c>
      <c r="AJ83" t="s">
        <v>111</v>
      </c>
      <c r="AK83">
        <v>20</v>
      </c>
      <c r="AL83">
        <v>48</v>
      </c>
      <c r="AM83" t="s">
        <v>131</v>
      </c>
      <c r="AN83" t="s">
        <v>111</v>
      </c>
      <c r="AO83" t="s">
        <v>111</v>
      </c>
      <c r="AP83" t="s">
        <v>111</v>
      </c>
      <c r="AQ83">
        <v>5</v>
      </c>
      <c r="AR83">
        <v>5</v>
      </c>
      <c r="AS83">
        <v>5</v>
      </c>
      <c r="AT83" t="s">
        <v>131</v>
      </c>
      <c r="AU83">
        <v>24</v>
      </c>
      <c r="AV83" t="s">
        <v>80</v>
      </c>
      <c r="AW83" t="s">
        <v>111</v>
      </c>
      <c r="AX83">
        <v>5</v>
      </c>
      <c r="AY83" t="s">
        <v>102</v>
      </c>
      <c r="AZ83" t="s">
        <v>111</v>
      </c>
      <c r="BA83">
        <v>5</v>
      </c>
      <c r="BB83">
        <v>5</v>
      </c>
      <c r="BC83" t="s">
        <v>111</v>
      </c>
      <c r="BD83">
        <v>5</v>
      </c>
      <c r="BE83">
        <v>4</v>
      </c>
      <c r="BF83">
        <v>14</v>
      </c>
      <c r="BG83" t="s">
        <v>117</v>
      </c>
      <c r="BH83" t="s">
        <v>171</v>
      </c>
      <c r="BI83">
        <v>5.2</v>
      </c>
      <c r="BJ83">
        <v>5.8</v>
      </c>
      <c r="BK83">
        <v>5</v>
      </c>
      <c r="BL83">
        <v>6.2</v>
      </c>
    </row>
    <row r="84" spans="1:64" x14ac:dyDescent="0.25">
      <c r="A84" t="s">
        <v>323</v>
      </c>
      <c r="B84">
        <v>31</v>
      </c>
      <c r="C84" t="s">
        <v>278</v>
      </c>
      <c r="D84" t="s">
        <v>66</v>
      </c>
      <c r="E84" t="s">
        <v>107</v>
      </c>
      <c r="F84" t="s">
        <v>141</v>
      </c>
      <c r="G84" t="s">
        <v>142</v>
      </c>
      <c r="H84" t="s">
        <v>279</v>
      </c>
      <c r="I84" t="s">
        <v>166</v>
      </c>
      <c r="J84" t="s">
        <v>285</v>
      </c>
      <c r="K84" t="s">
        <v>143</v>
      </c>
      <c r="L84">
        <v>2.5</v>
      </c>
      <c r="M84">
        <v>8</v>
      </c>
      <c r="N84" t="s">
        <v>135</v>
      </c>
      <c r="O84" t="s">
        <v>74</v>
      </c>
      <c r="P84" t="s">
        <v>273</v>
      </c>
      <c r="Q84" t="s">
        <v>295</v>
      </c>
      <c r="R84" t="s">
        <v>274</v>
      </c>
      <c r="S84" t="s">
        <v>274</v>
      </c>
      <c r="T84" t="s">
        <v>274</v>
      </c>
      <c r="U84" t="s">
        <v>286</v>
      </c>
      <c r="V84" t="s">
        <v>274</v>
      </c>
      <c r="W84" t="s">
        <v>274</v>
      </c>
      <c r="X84" t="s">
        <v>324</v>
      </c>
      <c r="Y84">
        <v>6.5</v>
      </c>
      <c r="Z84">
        <v>8</v>
      </c>
      <c r="AA84" t="s">
        <v>266</v>
      </c>
      <c r="AB84" t="s">
        <v>78</v>
      </c>
      <c r="AC84">
        <v>9</v>
      </c>
      <c r="AD84">
        <v>3</v>
      </c>
      <c r="AE84">
        <v>2</v>
      </c>
      <c r="AF84">
        <v>3</v>
      </c>
      <c r="AG84">
        <v>3</v>
      </c>
      <c r="AH84">
        <v>2</v>
      </c>
      <c r="AI84" t="s">
        <v>274</v>
      </c>
      <c r="AJ84" t="s">
        <v>274</v>
      </c>
      <c r="AK84">
        <v>35</v>
      </c>
      <c r="AL84">
        <v>88</v>
      </c>
      <c r="AM84" t="s">
        <v>85</v>
      </c>
      <c r="AN84" t="s">
        <v>274</v>
      </c>
      <c r="AO84" t="s">
        <v>274</v>
      </c>
      <c r="AP84" t="s">
        <v>274</v>
      </c>
      <c r="AQ84">
        <v>8</v>
      </c>
      <c r="AR84">
        <v>7</v>
      </c>
      <c r="AS84">
        <v>8</v>
      </c>
      <c r="AT84" t="s">
        <v>266</v>
      </c>
      <c r="AU84">
        <v>50</v>
      </c>
      <c r="AV84" t="s">
        <v>274</v>
      </c>
      <c r="AW84" t="s">
        <v>274</v>
      </c>
      <c r="AX84">
        <v>2</v>
      </c>
      <c r="AY84" t="s">
        <v>274</v>
      </c>
      <c r="AZ84" t="s">
        <v>274</v>
      </c>
      <c r="BA84">
        <v>2</v>
      </c>
      <c r="BB84">
        <v>2</v>
      </c>
      <c r="BC84" t="s">
        <v>274</v>
      </c>
      <c r="BD84">
        <v>2</v>
      </c>
      <c r="BE84">
        <v>7</v>
      </c>
      <c r="BF84">
        <v>35</v>
      </c>
      <c r="BG84" t="s">
        <v>86</v>
      </c>
      <c r="BH84" t="s">
        <v>281</v>
      </c>
      <c r="BI84">
        <v>2.2000000000000002</v>
      </c>
      <c r="BJ84">
        <v>2.8</v>
      </c>
      <c r="BK84">
        <v>8.1999999999999993</v>
      </c>
      <c r="BL84">
        <v>2.8</v>
      </c>
    </row>
    <row r="85" spans="1:64" x14ac:dyDescent="0.25">
      <c r="A85" t="s">
        <v>325</v>
      </c>
      <c r="B85">
        <v>29</v>
      </c>
      <c r="C85" t="s">
        <v>278</v>
      </c>
      <c r="D85" t="s">
        <v>89</v>
      </c>
      <c r="E85" t="s">
        <v>67</v>
      </c>
      <c r="F85" t="s">
        <v>119</v>
      </c>
      <c r="G85" t="s">
        <v>120</v>
      </c>
      <c r="H85" t="s">
        <v>279</v>
      </c>
      <c r="I85" t="s">
        <v>166</v>
      </c>
      <c r="J85" t="s">
        <v>289</v>
      </c>
      <c r="K85" t="s">
        <v>290</v>
      </c>
      <c r="L85">
        <v>3</v>
      </c>
      <c r="M85">
        <v>8</v>
      </c>
      <c r="N85" t="s">
        <v>75</v>
      </c>
      <c r="O85" t="s">
        <v>272</v>
      </c>
      <c r="P85" t="s">
        <v>273</v>
      </c>
      <c r="Q85" t="s">
        <v>101</v>
      </c>
      <c r="R85" t="s">
        <v>274</v>
      </c>
      <c r="S85" t="s">
        <v>111</v>
      </c>
      <c r="T85" t="s">
        <v>274</v>
      </c>
      <c r="U85" t="s">
        <v>80</v>
      </c>
      <c r="V85" t="s">
        <v>274</v>
      </c>
      <c r="W85" t="s">
        <v>274</v>
      </c>
      <c r="X85" t="s">
        <v>313</v>
      </c>
      <c r="Y85">
        <v>7</v>
      </c>
      <c r="Z85">
        <v>8</v>
      </c>
      <c r="AA85" t="s">
        <v>266</v>
      </c>
      <c r="AB85" t="s">
        <v>275</v>
      </c>
      <c r="AC85">
        <v>9</v>
      </c>
      <c r="AD85">
        <v>4</v>
      </c>
      <c r="AE85">
        <v>2</v>
      </c>
      <c r="AF85">
        <v>4</v>
      </c>
      <c r="AG85">
        <v>3</v>
      </c>
      <c r="AH85">
        <v>3</v>
      </c>
      <c r="AI85" t="s">
        <v>111</v>
      </c>
      <c r="AJ85" t="s">
        <v>274</v>
      </c>
      <c r="AK85">
        <v>28</v>
      </c>
      <c r="AL85">
        <v>70</v>
      </c>
      <c r="AM85" t="s">
        <v>85</v>
      </c>
      <c r="AN85" t="s">
        <v>274</v>
      </c>
      <c r="AO85" t="s">
        <v>111</v>
      </c>
      <c r="AP85" t="s">
        <v>274</v>
      </c>
      <c r="AQ85">
        <v>7</v>
      </c>
      <c r="AR85">
        <v>6</v>
      </c>
      <c r="AS85">
        <v>7</v>
      </c>
      <c r="AT85" t="s">
        <v>266</v>
      </c>
      <c r="AU85">
        <v>40</v>
      </c>
      <c r="AV85" t="s">
        <v>274</v>
      </c>
      <c r="AW85" t="s">
        <v>274</v>
      </c>
      <c r="AX85">
        <v>3</v>
      </c>
      <c r="AY85" t="s">
        <v>274</v>
      </c>
      <c r="AZ85" t="s">
        <v>274</v>
      </c>
      <c r="BA85">
        <v>3</v>
      </c>
      <c r="BB85">
        <v>3</v>
      </c>
      <c r="BC85" t="s">
        <v>274</v>
      </c>
      <c r="BD85">
        <v>3</v>
      </c>
      <c r="BE85">
        <v>6</v>
      </c>
      <c r="BF85">
        <v>28</v>
      </c>
      <c r="BG85" t="s">
        <v>86</v>
      </c>
      <c r="BH85" t="s">
        <v>281</v>
      </c>
      <c r="BI85">
        <v>3</v>
      </c>
      <c r="BJ85">
        <v>3.6</v>
      </c>
      <c r="BK85">
        <v>7.2</v>
      </c>
      <c r="BL85">
        <v>3.8</v>
      </c>
    </row>
    <row r="86" spans="1:64" x14ac:dyDescent="0.25">
      <c r="A86" t="s">
        <v>326</v>
      </c>
      <c r="B86">
        <v>27</v>
      </c>
      <c r="C86" t="s">
        <v>154</v>
      </c>
      <c r="D86" t="s">
        <v>66</v>
      </c>
      <c r="E86" t="s">
        <v>97</v>
      </c>
      <c r="F86" t="s">
        <v>181</v>
      </c>
      <c r="G86" t="s">
        <v>182</v>
      </c>
      <c r="H86" t="s">
        <v>124</v>
      </c>
      <c r="I86" t="s">
        <v>166</v>
      </c>
      <c r="J86" t="s">
        <v>72</v>
      </c>
      <c r="K86" t="s">
        <v>73</v>
      </c>
      <c r="L86">
        <v>4</v>
      </c>
      <c r="M86">
        <v>5</v>
      </c>
      <c r="N86" t="s">
        <v>135</v>
      </c>
      <c r="O86" t="s">
        <v>74</v>
      </c>
      <c r="P86" t="s">
        <v>100</v>
      </c>
      <c r="Q86" t="s">
        <v>101</v>
      </c>
      <c r="R86" t="s">
        <v>111</v>
      </c>
      <c r="S86" t="s">
        <v>111</v>
      </c>
      <c r="T86" t="s">
        <v>111</v>
      </c>
      <c r="U86" t="s">
        <v>80</v>
      </c>
      <c r="V86" t="s">
        <v>111</v>
      </c>
      <c r="W86" t="s">
        <v>111</v>
      </c>
      <c r="X86" t="s">
        <v>327</v>
      </c>
      <c r="Y86">
        <v>8</v>
      </c>
      <c r="Z86">
        <v>7.5</v>
      </c>
      <c r="AA86" t="s">
        <v>266</v>
      </c>
      <c r="AB86" t="s">
        <v>103</v>
      </c>
      <c r="AC86">
        <v>7.5</v>
      </c>
      <c r="AD86">
        <v>5</v>
      </c>
      <c r="AE86">
        <v>2</v>
      </c>
      <c r="AF86">
        <v>5</v>
      </c>
      <c r="AG86">
        <v>5</v>
      </c>
      <c r="AH86">
        <v>4</v>
      </c>
      <c r="AI86" t="s">
        <v>111</v>
      </c>
      <c r="AJ86" t="s">
        <v>111</v>
      </c>
      <c r="AK86">
        <v>22</v>
      </c>
      <c r="AL86">
        <v>55</v>
      </c>
      <c r="AM86" t="s">
        <v>85</v>
      </c>
      <c r="AN86" t="s">
        <v>111</v>
      </c>
      <c r="AO86" t="s">
        <v>274</v>
      </c>
      <c r="AP86" t="s">
        <v>274</v>
      </c>
      <c r="AQ86">
        <v>6</v>
      </c>
      <c r="AR86">
        <v>6</v>
      </c>
      <c r="AS86">
        <v>6</v>
      </c>
      <c r="AT86" t="s">
        <v>266</v>
      </c>
      <c r="AU86">
        <v>30</v>
      </c>
      <c r="AV86" t="s">
        <v>111</v>
      </c>
      <c r="AW86" t="s">
        <v>274</v>
      </c>
      <c r="AX86">
        <v>4</v>
      </c>
      <c r="AY86" t="s">
        <v>274</v>
      </c>
      <c r="AZ86" t="s">
        <v>111</v>
      </c>
      <c r="BA86">
        <v>4</v>
      </c>
      <c r="BB86">
        <v>4</v>
      </c>
      <c r="BC86" t="s">
        <v>274</v>
      </c>
      <c r="BD86">
        <v>4</v>
      </c>
      <c r="BE86">
        <v>5</v>
      </c>
      <c r="BF86">
        <v>18</v>
      </c>
      <c r="BG86" t="s">
        <v>86</v>
      </c>
      <c r="BH86" t="s">
        <v>171</v>
      </c>
      <c r="BI86">
        <v>4.5</v>
      </c>
      <c r="BJ86">
        <v>5</v>
      </c>
      <c r="BK86">
        <v>5.8</v>
      </c>
      <c r="BL86">
        <v>5.5</v>
      </c>
    </row>
    <row r="87" spans="1:64" x14ac:dyDescent="0.25">
      <c r="A87" t="s">
        <v>328</v>
      </c>
      <c r="B87">
        <v>33</v>
      </c>
      <c r="C87" t="s">
        <v>278</v>
      </c>
      <c r="D87" t="s">
        <v>89</v>
      </c>
      <c r="E87" t="s">
        <v>107</v>
      </c>
      <c r="F87" t="s">
        <v>160</v>
      </c>
      <c r="G87" t="s">
        <v>161</v>
      </c>
      <c r="H87" t="s">
        <v>279</v>
      </c>
      <c r="I87" t="s">
        <v>166</v>
      </c>
      <c r="J87" t="s">
        <v>167</v>
      </c>
      <c r="K87" t="s">
        <v>290</v>
      </c>
      <c r="L87">
        <v>2</v>
      </c>
      <c r="M87">
        <v>9</v>
      </c>
      <c r="N87" t="s">
        <v>272</v>
      </c>
      <c r="O87" t="s">
        <v>110</v>
      </c>
      <c r="P87" t="s">
        <v>273</v>
      </c>
      <c r="Q87" t="s">
        <v>295</v>
      </c>
      <c r="R87" t="s">
        <v>274</v>
      </c>
      <c r="S87" t="s">
        <v>274</v>
      </c>
      <c r="T87" t="s">
        <v>274</v>
      </c>
      <c r="U87" t="s">
        <v>286</v>
      </c>
      <c r="V87" t="s">
        <v>274</v>
      </c>
      <c r="W87" t="s">
        <v>274</v>
      </c>
      <c r="X87" t="s">
        <v>313</v>
      </c>
      <c r="Y87">
        <v>6</v>
      </c>
      <c r="Z87">
        <v>8.5</v>
      </c>
      <c r="AA87" t="s">
        <v>266</v>
      </c>
      <c r="AB87" t="s">
        <v>78</v>
      </c>
      <c r="AC87">
        <v>9.5</v>
      </c>
      <c r="AD87">
        <v>3</v>
      </c>
      <c r="AE87">
        <v>2</v>
      </c>
      <c r="AF87">
        <v>3</v>
      </c>
      <c r="AG87">
        <v>2</v>
      </c>
      <c r="AH87">
        <v>2</v>
      </c>
      <c r="AI87" t="s">
        <v>274</v>
      </c>
      <c r="AJ87" t="s">
        <v>274</v>
      </c>
      <c r="AK87">
        <v>38</v>
      </c>
      <c r="AL87">
        <v>95</v>
      </c>
      <c r="AM87" t="s">
        <v>85</v>
      </c>
      <c r="AN87" t="s">
        <v>274</v>
      </c>
      <c r="AO87" t="s">
        <v>274</v>
      </c>
      <c r="AP87" t="s">
        <v>274</v>
      </c>
      <c r="AQ87">
        <v>9</v>
      </c>
      <c r="AR87">
        <v>8</v>
      </c>
      <c r="AS87">
        <v>9</v>
      </c>
      <c r="AT87" t="s">
        <v>266</v>
      </c>
      <c r="AU87">
        <v>55</v>
      </c>
      <c r="AV87" t="s">
        <v>274</v>
      </c>
      <c r="AW87" t="s">
        <v>274</v>
      </c>
      <c r="AX87">
        <v>2</v>
      </c>
      <c r="AY87" t="s">
        <v>274</v>
      </c>
      <c r="AZ87" t="s">
        <v>274</v>
      </c>
      <c r="BA87">
        <v>2</v>
      </c>
      <c r="BB87">
        <v>2</v>
      </c>
      <c r="BC87" t="s">
        <v>274</v>
      </c>
      <c r="BD87">
        <v>2</v>
      </c>
      <c r="BE87">
        <v>8</v>
      </c>
      <c r="BF87">
        <v>45</v>
      </c>
      <c r="BG87" t="s">
        <v>306</v>
      </c>
      <c r="BH87" t="s">
        <v>281</v>
      </c>
      <c r="BI87">
        <v>1.8</v>
      </c>
      <c r="BJ87">
        <v>2.4</v>
      </c>
      <c r="BK87">
        <v>8.8000000000000007</v>
      </c>
      <c r="BL87">
        <v>2.2000000000000002</v>
      </c>
    </row>
    <row r="88" spans="1:64" x14ac:dyDescent="0.25">
      <c r="A88" t="s">
        <v>329</v>
      </c>
      <c r="B88">
        <v>26</v>
      </c>
      <c r="C88" t="s">
        <v>154</v>
      </c>
      <c r="D88" t="s">
        <v>66</v>
      </c>
      <c r="E88" t="s">
        <v>90</v>
      </c>
      <c r="F88" t="s">
        <v>128</v>
      </c>
      <c r="G88" t="s">
        <v>129</v>
      </c>
      <c r="H88" t="s">
        <v>279</v>
      </c>
      <c r="I88" t="s">
        <v>166</v>
      </c>
      <c r="J88" t="s">
        <v>242</v>
      </c>
      <c r="K88" t="s">
        <v>73</v>
      </c>
      <c r="L88">
        <v>3.5</v>
      </c>
      <c r="M88">
        <v>6</v>
      </c>
      <c r="N88" t="s">
        <v>74</v>
      </c>
      <c r="O88" t="s">
        <v>130</v>
      </c>
      <c r="P88" t="s">
        <v>273</v>
      </c>
      <c r="Q88" t="s">
        <v>101</v>
      </c>
      <c r="R88" t="s">
        <v>111</v>
      </c>
      <c r="S88" t="s">
        <v>111</v>
      </c>
      <c r="T88" t="s">
        <v>274</v>
      </c>
      <c r="U88" t="s">
        <v>80</v>
      </c>
      <c r="V88" t="s">
        <v>274</v>
      </c>
      <c r="W88" t="s">
        <v>111</v>
      </c>
      <c r="X88" t="s">
        <v>287</v>
      </c>
      <c r="Y88">
        <v>7.5</v>
      </c>
      <c r="Z88">
        <v>7.5</v>
      </c>
      <c r="AA88" t="s">
        <v>266</v>
      </c>
      <c r="AB88" t="s">
        <v>275</v>
      </c>
      <c r="AC88">
        <v>8.5</v>
      </c>
      <c r="AD88">
        <v>4</v>
      </c>
      <c r="AE88">
        <v>2</v>
      </c>
      <c r="AF88">
        <v>4</v>
      </c>
      <c r="AG88">
        <v>4</v>
      </c>
      <c r="AH88">
        <v>3</v>
      </c>
      <c r="AI88" t="s">
        <v>111</v>
      </c>
      <c r="AJ88" t="s">
        <v>274</v>
      </c>
      <c r="AK88">
        <v>26</v>
      </c>
      <c r="AL88">
        <v>65</v>
      </c>
      <c r="AM88" t="s">
        <v>85</v>
      </c>
      <c r="AN88" t="s">
        <v>274</v>
      </c>
      <c r="AO88" t="s">
        <v>111</v>
      </c>
      <c r="AP88" t="s">
        <v>274</v>
      </c>
      <c r="AQ88">
        <v>7</v>
      </c>
      <c r="AR88">
        <v>6</v>
      </c>
      <c r="AS88">
        <v>7</v>
      </c>
      <c r="AT88" t="s">
        <v>266</v>
      </c>
      <c r="AU88">
        <v>40</v>
      </c>
      <c r="AV88" t="s">
        <v>274</v>
      </c>
      <c r="AW88" t="s">
        <v>274</v>
      </c>
      <c r="AX88">
        <v>3</v>
      </c>
      <c r="AY88" t="s">
        <v>274</v>
      </c>
      <c r="AZ88" t="s">
        <v>274</v>
      </c>
      <c r="BA88">
        <v>3</v>
      </c>
      <c r="BB88">
        <v>3</v>
      </c>
      <c r="BC88" t="s">
        <v>274</v>
      </c>
      <c r="BD88">
        <v>3</v>
      </c>
      <c r="BE88">
        <v>6</v>
      </c>
      <c r="BF88">
        <v>24</v>
      </c>
      <c r="BG88" t="s">
        <v>86</v>
      </c>
      <c r="BH88" t="s">
        <v>281</v>
      </c>
      <c r="BI88">
        <v>3.2</v>
      </c>
      <c r="BJ88">
        <v>3.8</v>
      </c>
      <c r="BK88">
        <v>7</v>
      </c>
      <c r="BL88">
        <v>4</v>
      </c>
    </row>
    <row r="89" spans="1:64" x14ac:dyDescent="0.25">
      <c r="A89" t="s">
        <v>330</v>
      </c>
      <c r="B89">
        <v>30</v>
      </c>
      <c r="C89" t="s">
        <v>278</v>
      </c>
      <c r="D89" t="s">
        <v>89</v>
      </c>
      <c r="E89" t="s">
        <v>114</v>
      </c>
      <c r="F89" t="s">
        <v>184</v>
      </c>
      <c r="G89" t="s">
        <v>185</v>
      </c>
      <c r="H89" t="s">
        <v>124</v>
      </c>
      <c r="I89" t="s">
        <v>166</v>
      </c>
      <c r="J89" t="s">
        <v>193</v>
      </c>
      <c r="K89" t="s">
        <v>143</v>
      </c>
      <c r="L89">
        <v>5</v>
      </c>
      <c r="M89">
        <v>7</v>
      </c>
      <c r="N89" t="s">
        <v>74</v>
      </c>
      <c r="O89" t="s">
        <v>93</v>
      </c>
      <c r="P89" t="s">
        <v>100</v>
      </c>
      <c r="Q89" t="s">
        <v>101</v>
      </c>
      <c r="R89" t="s">
        <v>111</v>
      </c>
      <c r="S89" t="s">
        <v>102</v>
      </c>
      <c r="T89" t="s">
        <v>111</v>
      </c>
      <c r="U89" t="s">
        <v>80</v>
      </c>
      <c r="V89" t="s">
        <v>111</v>
      </c>
      <c r="W89" t="s">
        <v>102</v>
      </c>
      <c r="X89" t="s">
        <v>331</v>
      </c>
      <c r="Y89">
        <v>9</v>
      </c>
      <c r="Z89">
        <v>7</v>
      </c>
      <c r="AA89" t="s">
        <v>126</v>
      </c>
      <c r="AB89" t="s">
        <v>103</v>
      </c>
      <c r="AC89">
        <v>7.5</v>
      </c>
      <c r="AD89">
        <v>6</v>
      </c>
      <c r="AE89">
        <v>3</v>
      </c>
      <c r="AF89">
        <v>5</v>
      </c>
      <c r="AG89">
        <v>5</v>
      </c>
      <c r="AH89">
        <v>5</v>
      </c>
      <c r="AI89" t="s">
        <v>80</v>
      </c>
      <c r="AJ89" t="s">
        <v>111</v>
      </c>
      <c r="AK89">
        <v>18</v>
      </c>
      <c r="AL89">
        <v>42</v>
      </c>
      <c r="AM89" t="s">
        <v>131</v>
      </c>
      <c r="AN89" t="s">
        <v>111</v>
      </c>
      <c r="AO89" t="s">
        <v>111</v>
      </c>
      <c r="AP89" t="s">
        <v>111</v>
      </c>
      <c r="AQ89">
        <v>5</v>
      </c>
      <c r="AR89">
        <v>5</v>
      </c>
      <c r="AS89">
        <v>5</v>
      </c>
      <c r="AT89" t="s">
        <v>131</v>
      </c>
      <c r="AU89">
        <v>22</v>
      </c>
      <c r="AV89" t="s">
        <v>80</v>
      </c>
      <c r="AW89" t="s">
        <v>111</v>
      </c>
      <c r="AX89">
        <v>5</v>
      </c>
      <c r="AY89" t="s">
        <v>102</v>
      </c>
      <c r="AZ89" t="s">
        <v>111</v>
      </c>
      <c r="BA89">
        <v>5</v>
      </c>
      <c r="BB89">
        <v>5</v>
      </c>
      <c r="BC89" t="s">
        <v>111</v>
      </c>
      <c r="BD89">
        <v>5</v>
      </c>
      <c r="BE89">
        <v>4</v>
      </c>
      <c r="BF89">
        <v>14</v>
      </c>
      <c r="BG89" t="s">
        <v>117</v>
      </c>
      <c r="BH89" t="s">
        <v>171</v>
      </c>
      <c r="BI89">
        <v>5.5</v>
      </c>
      <c r="BJ89">
        <v>6</v>
      </c>
      <c r="BK89">
        <v>4.8</v>
      </c>
      <c r="BL89">
        <v>6.5</v>
      </c>
    </row>
    <row r="90" spans="1:64" x14ac:dyDescent="0.25">
      <c r="A90" t="s">
        <v>332</v>
      </c>
      <c r="B90">
        <v>28</v>
      </c>
      <c r="C90" t="s">
        <v>278</v>
      </c>
      <c r="D90" t="s">
        <v>66</v>
      </c>
      <c r="E90" t="s">
        <v>67</v>
      </c>
      <c r="F90" t="s">
        <v>187</v>
      </c>
      <c r="G90" t="s">
        <v>188</v>
      </c>
      <c r="H90" t="s">
        <v>124</v>
      </c>
      <c r="I90" t="s">
        <v>166</v>
      </c>
      <c r="J90" t="s">
        <v>315</v>
      </c>
      <c r="K90" t="s">
        <v>73</v>
      </c>
      <c r="L90">
        <v>4.5</v>
      </c>
      <c r="M90">
        <v>6</v>
      </c>
      <c r="N90" t="s">
        <v>135</v>
      </c>
      <c r="O90" t="s">
        <v>74</v>
      </c>
      <c r="P90" t="s">
        <v>100</v>
      </c>
      <c r="Q90" t="s">
        <v>101</v>
      </c>
      <c r="R90" t="s">
        <v>111</v>
      </c>
      <c r="S90" t="s">
        <v>111</v>
      </c>
      <c r="T90" t="s">
        <v>111</v>
      </c>
      <c r="U90" t="s">
        <v>80</v>
      </c>
      <c r="V90" t="s">
        <v>111</v>
      </c>
      <c r="W90" t="s">
        <v>111</v>
      </c>
      <c r="X90" t="s">
        <v>333</v>
      </c>
      <c r="Y90">
        <v>8.5</v>
      </c>
      <c r="Z90">
        <v>7</v>
      </c>
      <c r="AA90" t="s">
        <v>126</v>
      </c>
      <c r="AB90" t="s">
        <v>103</v>
      </c>
      <c r="AC90">
        <v>8</v>
      </c>
      <c r="AD90">
        <v>5</v>
      </c>
      <c r="AE90">
        <v>3</v>
      </c>
      <c r="AF90">
        <v>5</v>
      </c>
      <c r="AG90">
        <v>5</v>
      </c>
      <c r="AH90">
        <v>4</v>
      </c>
      <c r="AI90" t="s">
        <v>111</v>
      </c>
      <c r="AJ90" t="s">
        <v>111</v>
      </c>
      <c r="AK90">
        <v>20</v>
      </c>
      <c r="AL90">
        <v>50</v>
      </c>
      <c r="AM90" t="s">
        <v>131</v>
      </c>
      <c r="AN90" t="s">
        <v>111</v>
      </c>
      <c r="AO90" t="s">
        <v>111</v>
      </c>
      <c r="AP90" t="s">
        <v>111</v>
      </c>
      <c r="AQ90">
        <v>5</v>
      </c>
      <c r="AR90">
        <v>5</v>
      </c>
      <c r="AS90">
        <v>5</v>
      </c>
      <c r="AT90" t="s">
        <v>131</v>
      </c>
      <c r="AU90">
        <v>26</v>
      </c>
      <c r="AV90" t="s">
        <v>80</v>
      </c>
      <c r="AW90" t="s">
        <v>111</v>
      </c>
      <c r="AX90">
        <v>5</v>
      </c>
      <c r="AY90" t="s">
        <v>111</v>
      </c>
      <c r="AZ90" t="s">
        <v>111</v>
      </c>
      <c r="BA90">
        <v>5</v>
      </c>
      <c r="BB90">
        <v>5</v>
      </c>
      <c r="BC90" t="s">
        <v>111</v>
      </c>
      <c r="BD90">
        <v>5</v>
      </c>
      <c r="BE90">
        <v>4</v>
      </c>
      <c r="BF90">
        <v>15</v>
      </c>
      <c r="BG90" t="s">
        <v>86</v>
      </c>
      <c r="BH90" t="s">
        <v>171</v>
      </c>
      <c r="BI90">
        <v>5</v>
      </c>
      <c r="BJ90">
        <v>5.6</v>
      </c>
      <c r="BK90">
        <v>5.0999999999999996</v>
      </c>
      <c r="BL90">
        <v>6</v>
      </c>
    </row>
    <row r="91" spans="1:64" x14ac:dyDescent="0.25">
      <c r="A91" t="s">
        <v>334</v>
      </c>
      <c r="B91">
        <v>35</v>
      </c>
      <c r="C91" t="s">
        <v>278</v>
      </c>
      <c r="D91" t="s">
        <v>89</v>
      </c>
      <c r="E91" t="s">
        <v>107</v>
      </c>
      <c r="F91" t="s">
        <v>108</v>
      </c>
      <c r="G91" t="s">
        <v>109</v>
      </c>
      <c r="H91" t="s">
        <v>279</v>
      </c>
      <c r="I91" t="s">
        <v>166</v>
      </c>
      <c r="J91" t="s">
        <v>311</v>
      </c>
      <c r="K91" t="s">
        <v>290</v>
      </c>
      <c r="L91">
        <v>2</v>
      </c>
      <c r="M91">
        <v>10</v>
      </c>
      <c r="N91" t="s">
        <v>130</v>
      </c>
      <c r="O91" t="s">
        <v>272</v>
      </c>
      <c r="P91" t="s">
        <v>273</v>
      </c>
      <c r="Q91" t="s">
        <v>295</v>
      </c>
      <c r="R91" t="s">
        <v>274</v>
      </c>
      <c r="S91" t="s">
        <v>274</v>
      </c>
      <c r="T91" t="s">
        <v>274</v>
      </c>
      <c r="U91" t="s">
        <v>286</v>
      </c>
      <c r="V91" t="s">
        <v>274</v>
      </c>
      <c r="W91" t="s">
        <v>274</v>
      </c>
      <c r="X91" t="s">
        <v>335</v>
      </c>
      <c r="Y91">
        <v>6</v>
      </c>
      <c r="Z91">
        <v>8.5</v>
      </c>
      <c r="AA91" t="s">
        <v>266</v>
      </c>
      <c r="AB91" t="s">
        <v>78</v>
      </c>
      <c r="AC91">
        <v>9.5</v>
      </c>
      <c r="AD91">
        <v>3</v>
      </c>
      <c r="AE91">
        <v>1</v>
      </c>
      <c r="AF91">
        <v>3</v>
      </c>
      <c r="AG91">
        <v>2</v>
      </c>
      <c r="AH91">
        <v>2</v>
      </c>
      <c r="AI91" t="s">
        <v>274</v>
      </c>
      <c r="AJ91" t="s">
        <v>274</v>
      </c>
      <c r="AK91">
        <v>40</v>
      </c>
      <c r="AL91">
        <v>100</v>
      </c>
      <c r="AM91" t="s">
        <v>85</v>
      </c>
      <c r="AN91" t="s">
        <v>274</v>
      </c>
      <c r="AO91" t="s">
        <v>274</v>
      </c>
      <c r="AP91" t="s">
        <v>274</v>
      </c>
      <c r="AQ91">
        <v>9</v>
      </c>
      <c r="AR91">
        <v>8</v>
      </c>
      <c r="AS91">
        <v>9</v>
      </c>
      <c r="AT91" t="s">
        <v>336</v>
      </c>
      <c r="AU91">
        <v>58</v>
      </c>
      <c r="AV91" t="s">
        <v>274</v>
      </c>
      <c r="AW91" t="s">
        <v>274</v>
      </c>
      <c r="AX91">
        <v>2</v>
      </c>
      <c r="AY91" t="s">
        <v>83</v>
      </c>
      <c r="AZ91" t="s">
        <v>274</v>
      </c>
      <c r="BA91">
        <v>2</v>
      </c>
      <c r="BB91">
        <v>2</v>
      </c>
      <c r="BC91" t="s">
        <v>274</v>
      </c>
      <c r="BD91">
        <v>2</v>
      </c>
      <c r="BE91">
        <v>8</v>
      </c>
      <c r="BF91">
        <v>50</v>
      </c>
      <c r="BG91" t="s">
        <v>306</v>
      </c>
      <c r="BH91" t="s">
        <v>281</v>
      </c>
      <c r="BI91">
        <v>1.5</v>
      </c>
      <c r="BJ91">
        <v>2</v>
      </c>
      <c r="BK91">
        <v>9</v>
      </c>
      <c r="BL91">
        <v>2</v>
      </c>
    </row>
    <row r="92" spans="1:64" x14ac:dyDescent="0.25">
      <c r="A92" t="s">
        <v>337</v>
      </c>
      <c r="B92">
        <v>32</v>
      </c>
      <c r="C92" t="s">
        <v>278</v>
      </c>
      <c r="D92" t="s">
        <v>66</v>
      </c>
      <c r="E92" t="s">
        <v>90</v>
      </c>
      <c r="F92" t="s">
        <v>157</v>
      </c>
      <c r="G92" t="s">
        <v>158</v>
      </c>
      <c r="H92" t="s">
        <v>279</v>
      </c>
      <c r="I92" t="s">
        <v>166</v>
      </c>
      <c r="J92" t="s">
        <v>167</v>
      </c>
      <c r="K92" t="s">
        <v>143</v>
      </c>
      <c r="L92">
        <v>3.5</v>
      </c>
      <c r="M92">
        <v>8</v>
      </c>
      <c r="N92" t="s">
        <v>74</v>
      </c>
      <c r="O92" t="s">
        <v>75</v>
      </c>
      <c r="P92" t="s">
        <v>273</v>
      </c>
      <c r="Q92" t="s">
        <v>101</v>
      </c>
      <c r="R92" t="s">
        <v>111</v>
      </c>
      <c r="S92" t="s">
        <v>111</v>
      </c>
      <c r="T92" t="s">
        <v>274</v>
      </c>
      <c r="U92" t="s">
        <v>80</v>
      </c>
      <c r="V92" t="s">
        <v>274</v>
      </c>
      <c r="W92" t="s">
        <v>111</v>
      </c>
      <c r="X92" t="s">
        <v>338</v>
      </c>
      <c r="Y92">
        <v>7.5</v>
      </c>
      <c r="Z92">
        <v>7.5</v>
      </c>
      <c r="AA92" t="s">
        <v>266</v>
      </c>
      <c r="AB92" t="s">
        <v>275</v>
      </c>
      <c r="AC92">
        <v>9</v>
      </c>
      <c r="AD92">
        <v>4</v>
      </c>
      <c r="AE92">
        <v>2</v>
      </c>
      <c r="AF92">
        <v>4</v>
      </c>
      <c r="AG92">
        <v>4</v>
      </c>
      <c r="AH92">
        <v>3</v>
      </c>
      <c r="AI92" t="s">
        <v>111</v>
      </c>
      <c r="AJ92" t="s">
        <v>274</v>
      </c>
      <c r="AK92">
        <v>26</v>
      </c>
      <c r="AL92">
        <v>65</v>
      </c>
      <c r="AM92" t="s">
        <v>85</v>
      </c>
      <c r="AN92" t="s">
        <v>274</v>
      </c>
      <c r="AO92" t="s">
        <v>111</v>
      </c>
      <c r="AP92" t="s">
        <v>274</v>
      </c>
      <c r="AQ92">
        <v>7</v>
      </c>
      <c r="AR92">
        <v>6</v>
      </c>
      <c r="AS92">
        <v>7</v>
      </c>
      <c r="AT92" t="s">
        <v>266</v>
      </c>
      <c r="AU92">
        <v>40</v>
      </c>
      <c r="AV92" t="s">
        <v>274</v>
      </c>
      <c r="AW92" t="s">
        <v>274</v>
      </c>
      <c r="AX92">
        <v>3</v>
      </c>
      <c r="AY92" t="s">
        <v>274</v>
      </c>
      <c r="AZ92" t="s">
        <v>274</v>
      </c>
      <c r="BA92">
        <v>3</v>
      </c>
      <c r="BB92">
        <v>3</v>
      </c>
      <c r="BC92" t="s">
        <v>274</v>
      </c>
      <c r="BD92">
        <v>3</v>
      </c>
      <c r="BE92">
        <v>6</v>
      </c>
      <c r="BF92">
        <v>25</v>
      </c>
      <c r="BG92" t="s">
        <v>86</v>
      </c>
      <c r="BH92" t="s">
        <v>281</v>
      </c>
      <c r="BI92">
        <v>3.2</v>
      </c>
      <c r="BJ92">
        <v>3.8</v>
      </c>
      <c r="BK92">
        <v>7</v>
      </c>
      <c r="BL92">
        <v>4</v>
      </c>
    </row>
    <row r="93" spans="1:64" x14ac:dyDescent="0.25">
      <c r="A93" t="s">
        <v>339</v>
      </c>
      <c r="B93">
        <v>27</v>
      </c>
      <c r="C93" t="s">
        <v>154</v>
      </c>
      <c r="D93" t="s">
        <v>89</v>
      </c>
      <c r="E93" t="s">
        <v>97</v>
      </c>
      <c r="F93" t="s">
        <v>98</v>
      </c>
      <c r="G93" t="s">
        <v>99</v>
      </c>
      <c r="H93" t="s">
        <v>124</v>
      </c>
      <c r="I93" t="s">
        <v>166</v>
      </c>
      <c r="J93" t="s">
        <v>264</v>
      </c>
      <c r="K93" t="s">
        <v>73</v>
      </c>
      <c r="L93">
        <v>5</v>
      </c>
      <c r="M93">
        <v>5</v>
      </c>
      <c r="N93" t="s">
        <v>74</v>
      </c>
      <c r="O93" t="s">
        <v>75</v>
      </c>
      <c r="P93" t="s">
        <v>100</v>
      </c>
      <c r="Q93" t="s">
        <v>101</v>
      </c>
      <c r="R93" t="s">
        <v>102</v>
      </c>
      <c r="S93" t="s">
        <v>102</v>
      </c>
      <c r="T93" t="s">
        <v>111</v>
      </c>
      <c r="U93" t="s">
        <v>80</v>
      </c>
      <c r="V93" t="s">
        <v>80</v>
      </c>
      <c r="W93" t="s">
        <v>102</v>
      </c>
      <c r="X93" t="s">
        <v>340</v>
      </c>
      <c r="Y93">
        <v>9</v>
      </c>
      <c r="Z93">
        <v>7</v>
      </c>
      <c r="AA93" t="s">
        <v>126</v>
      </c>
      <c r="AB93" t="s">
        <v>103</v>
      </c>
      <c r="AC93">
        <v>7.5</v>
      </c>
      <c r="AD93">
        <v>6</v>
      </c>
      <c r="AE93">
        <v>3</v>
      </c>
      <c r="AF93">
        <v>6</v>
      </c>
      <c r="AG93">
        <v>5</v>
      </c>
      <c r="AH93">
        <v>5</v>
      </c>
      <c r="AI93" t="s">
        <v>80</v>
      </c>
      <c r="AJ93" t="s">
        <v>111</v>
      </c>
      <c r="AK93">
        <v>16</v>
      </c>
      <c r="AL93">
        <v>38</v>
      </c>
      <c r="AM93" t="s">
        <v>131</v>
      </c>
      <c r="AN93" t="s">
        <v>111</v>
      </c>
      <c r="AO93" t="s">
        <v>80</v>
      </c>
      <c r="AP93" t="s">
        <v>111</v>
      </c>
      <c r="AQ93">
        <v>5</v>
      </c>
      <c r="AR93">
        <v>4</v>
      </c>
      <c r="AS93">
        <v>5</v>
      </c>
      <c r="AT93" t="s">
        <v>131</v>
      </c>
      <c r="AU93">
        <v>20</v>
      </c>
      <c r="AV93" t="s">
        <v>80</v>
      </c>
      <c r="AW93" t="s">
        <v>80</v>
      </c>
      <c r="AX93">
        <v>5</v>
      </c>
      <c r="AY93" t="s">
        <v>102</v>
      </c>
      <c r="AZ93" t="s">
        <v>80</v>
      </c>
      <c r="BA93">
        <v>6</v>
      </c>
      <c r="BB93">
        <v>5</v>
      </c>
      <c r="BC93" t="s">
        <v>111</v>
      </c>
      <c r="BD93">
        <v>6</v>
      </c>
      <c r="BE93">
        <v>4</v>
      </c>
      <c r="BF93">
        <v>12</v>
      </c>
      <c r="BG93" t="s">
        <v>117</v>
      </c>
      <c r="BH93" t="s">
        <v>131</v>
      </c>
      <c r="BI93">
        <v>5.8</v>
      </c>
      <c r="BJ93">
        <v>6.4</v>
      </c>
      <c r="BK93">
        <v>4.5999999999999996</v>
      </c>
      <c r="BL93">
        <v>6.8</v>
      </c>
    </row>
    <row r="94" spans="1:64" x14ac:dyDescent="0.25">
      <c r="A94" t="s">
        <v>341</v>
      </c>
      <c r="B94">
        <v>29</v>
      </c>
      <c r="C94" t="s">
        <v>278</v>
      </c>
      <c r="D94" t="s">
        <v>66</v>
      </c>
      <c r="E94" t="s">
        <v>114</v>
      </c>
      <c r="F94" t="s">
        <v>115</v>
      </c>
      <c r="G94" t="s">
        <v>116</v>
      </c>
      <c r="H94" t="s">
        <v>279</v>
      </c>
      <c r="I94" t="s">
        <v>166</v>
      </c>
      <c r="J94" t="s">
        <v>303</v>
      </c>
      <c r="K94" t="s">
        <v>143</v>
      </c>
      <c r="L94">
        <v>4</v>
      </c>
      <c r="M94">
        <v>7</v>
      </c>
      <c r="N94" t="s">
        <v>74</v>
      </c>
      <c r="O94" t="s">
        <v>93</v>
      </c>
      <c r="P94" t="s">
        <v>100</v>
      </c>
      <c r="Q94" t="s">
        <v>101</v>
      </c>
      <c r="R94" t="s">
        <v>111</v>
      </c>
      <c r="S94" t="s">
        <v>111</v>
      </c>
      <c r="T94" t="s">
        <v>111</v>
      </c>
      <c r="U94" t="s">
        <v>80</v>
      </c>
      <c r="V94" t="s">
        <v>111</v>
      </c>
      <c r="W94" t="s">
        <v>111</v>
      </c>
      <c r="X94" t="s">
        <v>342</v>
      </c>
      <c r="Y94">
        <v>8</v>
      </c>
      <c r="Z94">
        <v>7.5</v>
      </c>
      <c r="AA94" t="s">
        <v>266</v>
      </c>
      <c r="AB94" t="s">
        <v>103</v>
      </c>
      <c r="AC94">
        <v>8.5</v>
      </c>
      <c r="AD94">
        <v>5</v>
      </c>
      <c r="AE94">
        <v>3</v>
      </c>
      <c r="AF94">
        <v>5</v>
      </c>
      <c r="AG94">
        <v>5</v>
      </c>
      <c r="AH94">
        <v>4</v>
      </c>
      <c r="AI94" t="s">
        <v>111</v>
      </c>
      <c r="AJ94" t="s">
        <v>111</v>
      </c>
      <c r="AK94">
        <v>22</v>
      </c>
      <c r="AL94">
        <v>55</v>
      </c>
      <c r="AM94" t="s">
        <v>131</v>
      </c>
      <c r="AN94" t="s">
        <v>111</v>
      </c>
      <c r="AO94" t="s">
        <v>111</v>
      </c>
      <c r="AP94" t="s">
        <v>274</v>
      </c>
      <c r="AQ94">
        <v>5</v>
      </c>
      <c r="AR94">
        <v>5</v>
      </c>
      <c r="AS94">
        <v>5</v>
      </c>
      <c r="AT94" t="s">
        <v>131</v>
      </c>
      <c r="AU94">
        <v>28</v>
      </c>
      <c r="AV94" t="s">
        <v>111</v>
      </c>
      <c r="AW94" t="s">
        <v>111</v>
      </c>
      <c r="AX94">
        <v>4</v>
      </c>
      <c r="AY94" t="s">
        <v>111</v>
      </c>
      <c r="AZ94" t="s">
        <v>111</v>
      </c>
      <c r="BA94">
        <v>4</v>
      </c>
      <c r="BB94">
        <v>4</v>
      </c>
      <c r="BC94" t="s">
        <v>111</v>
      </c>
      <c r="BD94">
        <v>4</v>
      </c>
      <c r="BE94">
        <v>5</v>
      </c>
      <c r="BF94">
        <v>18</v>
      </c>
      <c r="BG94" t="s">
        <v>152</v>
      </c>
      <c r="BH94" t="s">
        <v>171</v>
      </c>
      <c r="BI94">
        <v>4.8</v>
      </c>
      <c r="BJ94">
        <v>5.4</v>
      </c>
      <c r="BK94">
        <v>5.4</v>
      </c>
      <c r="BL94">
        <v>5.8</v>
      </c>
    </row>
    <row r="95" spans="1:64" x14ac:dyDescent="0.25">
      <c r="A95" t="s">
        <v>343</v>
      </c>
      <c r="B95">
        <v>34</v>
      </c>
      <c r="C95" t="s">
        <v>278</v>
      </c>
      <c r="D95" t="s">
        <v>89</v>
      </c>
      <c r="E95" t="s">
        <v>149</v>
      </c>
      <c r="F95" t="s">
        <v>247</v>
      </c>
      <c r="G95" t="s">
        <v>248</v>
      </c>
      <c r="H95" t="s">
        <v>124</v>
      </c>
      <c r="I95" t="s">
        <v>166</v>
      </c>
      <c r="J95" t="s">
        <v>242</v>
      </c>
      <c r="K95" t="s">
        <v>290</v>
      </c>
      <c r="L95">
        <v>3</v>
      </c>
      <c r="M95">
        <v>9</v>
      </c>
      <c r="N95" t="s">
        <v>74</v>
      </c>
      <c r="O95" t="s">
        <v>272</v>
      </c>
      <c r="P95" t="s">
        <v>273</v>
      </c>
      <c r="Q95" t="s">
        <v>101</v>
      </c>
      <c r="R95" t="s">
        <v>274</v>
      </c>
      <c r="S95" t="s">
        <v>111</v>
      </c>
      <c r="T95" t="s">
        <v>274</v>
      </c>
      <c r="U95" t="s">
        <v>80</v>
      </c>
      <c r="V95" t="s">
        <v>274</v>
      </c>
      <c r="W95" t="s">
        <v>274</v>
      </c>
      <c r="X95" t="s">
        <v>318</v>
      </c>
      <c r="Y95">
        <v>7</v>
      </c>
      <c r="Z95">
        <v>8</v>
      </c>
      <c r="AA95" t="s">
        <v>266</v>
      </c>
      <c r="AB95" t="s">
        <v>275</v>
      </c>
      <c r="AC95">
        <v>9</v>
      </c>
      <c r="AD95">
        <v>4</v>
      </c>
      <c r="AE95">
        <v>2</v>
      </c>
      <c r="AF95">
        <v>4</v>
      </c>
      <c r="AG95">
        <v>3</v>
      </c>
      <c r="AH95">
        <v>3</v>
      </c>
      <c r="AI95" t="s">
        <v>111</v>
      </c>
      <c r="AJ95" t="s">
        <v>274</v>
      </c>
      <c r="AK95">
        <v>28</v>
      </c>
      <c r="AL95">
        <v>70</v>
      </c>
      <c r="AM95" t="s">
        <v>85</v>
      </c>
      <c r="AN95" t="s">
        <v>274</v>
      </c>
      <c r="AO95" t="s">
        <v>111</v>
      </c>
      <c r="AP95" t="s">
        <v>274</v>
      </c>
      <c r="AQ95">
        <v>7</v>
      </c>
      <c r="AR95">
        <v>6</v>
      </c>
      <c r="AS95">
        <v>7</v>
      </c>
      <c r="AT95" t="s">
        <v>266</v>
      </c>
      <c r="AU95">
        <v>40</v>
      </c>
      <c r="AV95" t="s">
        <v>274</v>
      </c>
      <c r="AW95" t="s">
        <v>274</v>
      </c>
      <c r="AX95">
        <v>3</v>
      </c>
      <c r="AY95" t="s">
        <v>274</v>
      </c>
      <c r="AZ95" t="s">
        <v>274</v>
      </c>
      <c r="BA95">
        <v>3</v>
      </c>
      <c r="BB95">
        <v>3</v>
      </c>
      <c r="BC95" t="s">
        <v>274</v>
      </c>
      <c r="BD95">
        <v>3</v>
      </c>
      <c r="BE95">
        <v>6</v>
      </c>
      <c r="BF95">
        <v>28</v>
      </c>
      <c r="BG95" t="s">
        <v>86</v>
      </c>
      <c r="BH95" t="s">
        <v>281</v>
      </c>
      <c r="BI95">
        <v>3</v>
      </c>
      <c r="BJ95">
        <v>3.6</v>
      </c>
      <c r="BK95">
        <v>7.2</v>
      </c>
      <c r="BL95">
        <v>3.8</v>
      </c>
    </row>
    <row r="96" spans="1:64" x14ac:dyDescent="0.25">
      <c r="A96" t="s">
        <v>344</v>
      </c>
      <c r="B96">
        <v>26</v>
      </c>
      <c r="C96" t="s">
        <v>154</v>
      </c>
      <c r="D96" t="s">
        <v>66</v>
      </c>
      <c r="E96" t="s">
        <v>107</v>
      </c>
      <c r="F96" t="s">
        <v>204</v>
      </c>
      <c r="G96" t="s">
        <v>205</v>
      </c>
      <c r="H96" t="s">
        <v>279</v>
      </c>
      <c r="I96" t="s">
        <v>166</v>
      </c>
      <c r="J96" t="s">
        <v>311</v>
      </c>
      <c r="K96" t="s">
        <v>73</v>
      </c>
      <c r="L96">
        <v>3.5</v>
      </c>
      <c r="M96">
        <v>7</v>
      </c>
      <c r="N96" t="s">
        <v>74</v>
      </c>
      <c r="O96" t="s">
        <v>130</v>
      </c>
      <c r="P96" t="s">
        <v>273</v>
      </c>
      <c r="Q96" t="s">
        <v>101</v>
      </c>
      <c r="R96" t="s">
        <v>111</v>
      </c>
      <c r="S96" t="s">
        <v>111</v>
      </c>
      <c r="T96" t="s">
        <v>274</v>
      </c>
      <c r="U96" t="s">
        <v>80</v>
      </c>
      <c r="V96" t="s">
        <v>274</v>
      </c>
      <c r="W96" t="s">
        <v>111</v>
      </c>
      <c r="X96" t="s">
        <v>345</v>
      </c>
      <c r="Y96">
        <v>7.5</v>
      </c>
      <c r="Z96">
        <v>7.5</v>
      </c>
      <c r="AA96" t="s">
        <v>266</v>
      </c>
      <c r="AB96" t="s">
        <v>275</v>
      </c>
      <c r="AC96">
        <v>9</v>
      </c>
      <c r="AD96">
        <v>4</v>
      </c>
      <c r="AE96">
        <v>2</v>
      </c>
      <c r="AF96">
        <v>4</v>
      </c>
      <c r="AG96">
        <v>4</v>
      </c>
      <c r="AH96">
        <v>3</v>
      </c>
      <c r="AI96" t="s">
        <v>111</v>
      </c>
      <c r="AJ96" t="s">
        <v>274</v>
      </c>
      <c r="AK96">
        <v>26</v>
      </c>
      <c r="AL96">
        <v>65</v>
      </c>
      <c r="AM96" t="s">
        <v>85</v>
      </c>
      <c r="AN96" t="s">
        <v>274</v>
      </c>
      <c r="AO96" t="s">
        <v>111</v>
      </c>
      <c r="AP96" t="s">
        <v>274</v>
      </c>
      <c r="AQ96">
        <v>7</v>
      </c>
      <c r="AR96">
        <v>6</v>
      </c>
      <c r="AS96">
        <v>7</v>
      </c>
      <c r="AT96" t="s">
        <v>266</v>
      </c>
      <c r="AU96">
        <v>40</v>
      </c>
      <c r="AV96" t="s">
        <v>274</v>
      </c>
      <c r="AW96" t="s">
        <v>274</v>
      </c>
      <c r="AX96">
        <v>3</v>
      </c>
      <c r="AY96" t="s">
        <v>274</v>
      </c>
      <c r="AZ96" t="s">
        <v>274</v>
      </c>
      <c r="BA96">
        <v>3</v>
      </c>
      <c r="BB96">
        <v>3</v>
      </c>
      <c r="BC96" t="s">
        <v>274</v>
      </c>
      <c r="BD96">
        <v>3</v>
      </c>
      <c r="BE96">
        <v>6</v>
      </c>
      <c r="BF96">
        <v>26</v>
      </c>
      <c r="BG96" t="s">
        <v>86</v>
      </c>
      <c r="BH96" t="s">
        <v>281</v>
      </c>
      <c r="BI96">
        <v>3.2</v>
      </c>
      <c r="BJ96">
        <v>3.8</v>
      </c>
      <c r="BK96">
        <v>7</v>
      </c>
      <c r="BL96">
        <v>4</v>
      </c>
    </row>
    <row r="97" spans="1:64" x14ac:dyDescent="0.25">
      <c r="A97" t="s">
        <v>346</v>
      </c>
      <c r="B97">
        <v>31</v>
      </c>
      <c r="C97" t="s">
        <v>278</v>
      </c>
      <c r="D97" t="s">
        <v>89</v>
      </c>
      <c r="E97" t="s">
        <v>67</v>
      </c>
      <c r="F97" t="s">
        <v>68</v>
      </c>
      <c r="G97" t="s">
        <v>69</v>
      </c>
      <c r="H97" t="s">
        <v>279</v>
      </c>
      <c r="I97" t="s">
        <v>166</v>
      </c>
      <c r="J97" t="s">
        <v>289</v>
      </c>
      <c r="K97" t="s">
        <v>290</v>
      </c>
      <c r="L97">
        <v>4</v>
      </c>
      <c r="M97">
        <v>9</v>
      </c>
      <c r="N97" t="s">
        <v>75</v>
      </c>
      <c r="O97" t="s">
        <v>272</v>
      </c>
      <c r="P97" t="s">
        <v>100</v>
      </c>
      <c r="Q97" t="s">
        <v>101</v>
      </c>
      <c r="R97" t="s">
        <v>111</v>
      </c>
      <c r="S97" t="s">
        <v>111</v>
      </c>
      <c r="T97" t="s">
        <v>111</v>
      </c>
      <c r="U97" t="s">
        <v>80</v>
      </c>
      <c r="V97" t="s">
        <v>111</v>
      </c>
      <c r="W97" t="s">
        <v>111</v>
      </c>
      <c r="X97" t="s">
        <v>313</v>
      </c>
      <c r="Y97">
        <v>8</v>
      </c>
      <c r="Z97">
        <v>7.5</v>
      </c>
      <c r="AA97" t="s">
        <v>126</v>
      </c>
      <c r="AB97" t="s">
        <v>103</v>
      </c>
      <c r="AC97">
        <v>9</v>
      </c>
      <c r="AD97">
        <v>5</v>
      </c>
      <c r="AE97">
        <v>3</v>
      </c>
      <c r="AF97">
        <v>5</v>
      </c>
      <c r="AG97">
        <v>4</v>
      </c>
      <c r="AH97">
        <v>4</v>
      </c>
      <c r="AI97" t="s">
        <v>111</v>
      </c>
      <c r="AJ97" t="s">
        <v>111</v>
      </c>
      <c r="AK97">
        <v>22</v>
      </c>
      <c r="AL97">
        <v>55</v>
      </c>
      <c r="AM97" t="s">
        <v>131</v>
      </c>
      <c r="AN97" t="s">
        <v>111</v>
      </c>
      <c r="AO97" t="s">
        <v>111</v>
      </c>
      <c r="AP97" t="s">
        <v>111</v>
      </c>
      <c r="AQ97">
        <v>5</v>
      </c>
      <c r="AR97">
        <v>5</v>
      </c>
      <c r="AS97">
        <v>5</v>
      </c>
      <c r="AT97" t="s">
        <v>131</v>
      </c>
      <c r="AU97">
        <v>28</v>
      </c>
      <c r="AV97" t="s">
        <v>111</v>
      </c>
      <c r="AW97" t="s">
        <v>111</v>
      </c>
      <c r="AX97">
        <v>4</v>
      </c>
      <c r="AY97" t="s">
        <v>111</v>
      </c>
      <c r="AZ97" t="s">
        <v>111</v>
      </c>
      <c r="BA97">
        <v>4</v>
      </c>
      <c r="BB97">
        <v>4</v>
      </c>
      <c r="BC97" t="s">
        <v>111</v>
      </c>
      <c r="BD97">
        <v>4</v>
      </c>
      <c r="BE97">
        <v>5</v>
      </c>
      <c r="BF97">
        <v>18</v>
      </c>
      <c r="BG97" t="s">
        <v>86</v>
      </c>
      <c r="BH97" t="s">
        <v>171</v>
      </c>
      <c r="BI97">
        <v>4.8</v>
      </c>
      <c r="BJ97">
        <v>5.4</v>
      </c>
      <c r="BK97">
        <v>5.4</v>
      </c>
      <c r="BL97">
        <v>5.8</v>
      </c>
    </row>
    <row r="98" spans="1:64" x14ac:dyDescent="0.25">
      <c r="A98" t="s">
        <v>347</v>
      </c>
      <c r="B98">
        <v>28</v>
      </c>
      <c r="C98" t="s">
        <v>278</v>
      </c>
      <c r="D98" t="s">
        <v>66</v>
      </c>
      <c r="E98" t="s">
        <v>90</v>
      </c>
      <c r="F98" t="s">
        <v>240</v>
      </c>
      <c r="G98" t="s">
        <v>241</v>
      </c>
      <c r="H98" t="s">
        <v>124</v>
      </c>
      <c r="I98" t="s">
        <v>166</v>
      </c>
      <c r="J98" t="s">
        <v>179</v>
      </c>
      <c r="K98" t="s">
        <v>143</v>
      </c>
      <c r="L98">
        <v>5.5</v>
      </c>
      <c r="M98">
        <v>6</v>
      </c>
      <c r="N98" t="s">
        <v>74</v>
      </c>
      <c r="O98" t="s">
        <v>93</v>
      </c>
      <c r="P98" t="s">
        <v>100</v>
      </c>
      <c r="Q98" t="s">
        <v>101</v>
      </c>
      <c r="R98" t="s">
        <v>102</v>
      </c>
      <c r="S98" t="s">
        <v>102</v>
      </c>
      <c r="T98" t="s">
        <v>111</v>
      </c>
      <c r="U98" t="s">
        <v>80</v>
      </c>
      <c r="V98" t="s">
        <v>80</v>
      </c>
      <c r="W98" t="s">
        <v>102</v>
      </c>
      <c r="X98" t="s">
        <v>320</v>
      </c>
      <c r="Y98">
        <v>9.5</v>
      </c>
      <c r="Z98">
        <v>7</v>
      </c>
      <c r="AA98" t="s">
        <v>126</v>
      </c>
      <c r="AB98" t="s">
        <v>103</v>
      </c>
      <c r="AC98">
        <v>7.5</v>
      </c>
      <c r="AD98">
        <v>6</v>
      </c>
      <c r="AE98">
        <v>3</v>
      </c>
      <c r="AF98">
        <v>6</v>
      </c>
      <c r="AG98">
        <v>5</v>
      </c>
      <c r="AH98">
        <v>5</v>
      </c>
      <c r="AI98" t="s">
        <v>80</v>
      </c>
      <c r="AJ98" t="s">
        <v>111</v>
      </c>
      <c r="AK98">
        <v>16</v>
      </c>
      <c r="AL98">
        <v>38</v>
      </c>
      <c r="AM98" t="s">
        <v>131</v>
      </c>
      <c r="AN98" t="s">
        <v>111</v>
      </c>
      <c r="AO98" t="s">
        <v>80</v>
      </c>
      <c r="AP98" t="s">
        <v>111</v>
      </c>
      <c r="AQ98">
        <v>5</v>
      </c>
      <c r="AR98">
        <v>4</v>
      </c>
      <c r="AS98">
        <v>5</v>
      </c>
      <c r="AT98" t="s">
        <v>131</v>
      </c>
      <c r="AU98">
        <v>20</v>
      </c>
      <c r="AV98" t="s">
        <v>80</v>
      </c>
      <c r="AW98" t="s">
        <v>80</v>
      </c>
      <c r="AX98">
        <v>5</v>
      </c>
      <c r="AY98" t="s">
        <v>102</v>
      </c>
      <c r="AZ98" t="s">
        <v>80</v>
      </c>
      <c r="BA98">
        <v>6</v>
      </c>
      <c r="BB98">
        <v>5</v>
      </c>
      <c r="BC98" t="s">
        <v>111</v>
      </c>
      <c r="BD98">
        <v>6</v>
      </c>
      <c r="BE98">
        <v>4</v>
      </c>
      <c r="BF98">
        <v>10</v>
      </c>
      <c r="BG98" t="s">
        <v>86</v>
      </c>
      <c r="BH98" t="s">
        <v>131</v>
      </c>
      <c r="BI98">
        <v>5.8</v>
      </c>
      <c r="BJ98">
        <v>6.4</v>
      </c>
      <c r="BK98">
        <v>4.5999999999999996</v>
      </c>
      <c r="BL98">
        <v>6.8</v>
      </c>
    </row>
    <row r="99" spans="1:64" x14ac:dyDescent="0.25">
      <c r="A99" t="s">
        <v>348</v>
      </c>
      <c r="B99">
        <v>33</v>
      </c>
      <c r="C99" t="s">
        <v>278</v>
      </c>
      <c r="D99" t="s">
        <v>89</v>
      </c>
      <c r="E99" t="s">
        <v>107</v>
      </c>
      <c r="F99" t="s">
        <v>260</v>
      </c>
      <c r="G99" t="s">
        <v>261</v>
      </c>
      <c r="H99" t="s">
        <v>279</v>
      </c>
      <c r="I99" t="s">
        <v>166</v>
      </c>
      <c r="J99" t="s">
        <v>72</v>
      </c>
      <c r="K99" t="s">
        <v>290</v>
      </c>
      <c r="L99">
        <v>2.5</v>
      </c>
      <c r="M99">
        <v>9</v>
      </c>
      <c r="N99" t="s">
        <v>74</v>
      </c>
      <c r="O99" t="s">
        <v>75</v>
      </c>
      <c r="P99" t="s">
        <v>273</v>
      </c>
      <c r="Q99" t="s">
        <v>295</v>
      </c>
      <c r="R99" t="s">
        <v>274</v>
      </c>
      <c r="S99" t="s">
        <v>274</v>
      </c>
      <c r="T99" t="s">
        <v>274</v>
      </c>
      <c r="U99" t="s">
        <v>286</v>
      </c>
      <c r="V99" t="s">
        <v>274</v>
      </c>
      <c r="W99" t="s">
        <v>274</v>
      </c>
      <c r="X99" t="s">
        <v>308</v>
      </c>
      <c r="Y99">
        <v>6.5</v>
      </c>
      <c r="Z99">
        <v>8</v>
      </c>
      <c r="AA99" t="s">
        <v>266</v>
      </c>
      <c r="AB99" t="s">
        <v>275</v>
      </c>
      <c r="AC99">
        <v>9</v>
      </c>
      <c r="AD99">
        <v>3</v>
      </c>
      <c r="AE99">
        <v>2</v>
      </c>
      <c r="AF99">
        <v>3</v>
      </c>
      <c r="AG99">
        <v>3</v>
      </c>
      <c r="AH99">
        <v>2</v>
      </c>
      <c r="AI99" t="s">
        <v>274</v>
      </c>
      <c r="AJ99" t="s">
        <v>274</v>
      </c>
      <c r="AK99">
        <v>35</v>
      </c>
      <c r="AL99">
        <v>88</v>
      </c>
      <c r="AM99" t="s">
        <v>85</v>
      </c>
      <c r="AN99" t="s">
        <v>274</v>
      </c>
      <c r="AO99" t="s">
        <v>274</v>
      </c>
      <c r="AP99" t="s">
        <v>274</v>
      </c>
      <c r="AQ99">
        <v>8</v>
      </c>
      <c r="AR99">
        <v>7</v>
      </c>
      <c r="AS99">
        <v>8</v>
      </c>
      <c r="AT99" t="s">
        <v>266</v>
      </c>
      <c r="AU99">
        <v>50</v>
      </c>
      <c r="AV99" t="s">
        <v>274</v>
      </c>
      <c r="AW99" t="s">
        <v>274</v>
      </c>
      <c r="AX99">
        <v>2</v>
      </c>
      <c r="AY99" t="s">
        <v>274</v>
      </c>
      <c r="AZ99" t="s">
        <v>274</v>
      </c>
      <c r="BA99">
        <v>2</v>
      </c>
      <c r="BB99">
        <v>2</v>
      </c>
      <c r="BC99" t="s">
        <v>274</v>
      </c>
      <c r="BD99">
        <v>2</v>
      </c>
      <c r="BE99">
        <v>7</v>
      </c>
      <c r="BF99">
        <v>35</v>
      </c>
      <c r="BG99" t="s">
        <v>306</v>
      </c>
      <c r="BH99" t="s">
        <v>281</v>
      </c>
      <c r="BI99">
        <v>2.2000000000000002</v>
      </c>
      <c r="BJ99">
        <v>2.8</v>
      </c>
      <c r="BK99">
        <v>8.1999999999999993</v>
      </c>
      <c r="BL99">
        <v>2.8</v>
      </c>
    </row>
    <row r="100" spans="1:64" x14ac:dyDescent="0.25">
      <c r="A100" t="s">
        <v>349</v>
      </c>
      <c r="B100">
        <v>25</v>
      </c>
      <c r="C100" t="s">
        <v>154</v>
      </c>
      <c r="D100" t="s">
        <v>66</v>
      </c>
      <c r="E100" t="s">
        <v>97</v>
      </c>
      <c r="F100" t="s">
        <v>225</v>
      </c>
      <c r="G100" t="s">
        <v>226</v>
      </c>
      <c r="H100" t="s">
        <v>124</v>
      </c>
      <c r="I100" t="s">
        <v>166</v>
      </c>
      <c r="J100" t="s">
        <v>315</v>
      </c>
      <c r="K100" t="s">
        <v>73</v>
      </c>
      <c r="L100">
        <v>4.5</v>
      </c>
      <c r="M100">
        <v>4</v>
      </c>
      <c r="N100" t="s">
        <v>135</v>
      </c>
      <c r="O100" t="s">
        <v>74</v>
      </c>
      <c r="P100" t="s">
        <v>100</v>
      </c>
      <c r="Q100" t="s">
        <v>101</v>
      </c>
      <c r="R100" t="s">
        <v>111</v>
      </c>
      <c r="S100" t="s">
        <v>111</v>
      </c>
      <c r="T100" t="s">
        <v>111</v>
      </c>
      <c r="U100" t="s">
        <v>80</v>
      </c>
      <c r="V100" t="s">
        <v>111</v>
      </c>
      <c r="W100" t="s">
        <v>111</v>
      </c>
      <c r="X100" t="s">
        <v>333</v>
      </c>
      <c r="Y100">
        <v>8.5</v>
      </c>
      <c r="Z100">
        <v>7</v>
      </c>
      <c r="AA100" t="s">
        <v>126</v>
      </c>
      <c r="AB100" t="s">
        <v>103</v>
      </c>
      <c r="AC100">
        <v>7.5</v>
      </c>
      <c r="AD100">
        <v>5</v>
      </c>
      <c r="AE100">
        <v>3</v>
      </c>
      <c r="AF100">
        <v>5</v>
      </c>
      <c r="AG100">
        <v>5</v>
      </c>
      <c r="AH100">
        <v>4</v>
      </c>
      <c r="AI100" t="s">
        <v>111</v>
      </c>
      <c r="AJ100" t="s">
        <v>111</v>
      </c>
      <c r="AK100">
        <v>20</v>
      </c>
      <c r="AL100">
        <v>50</v>
      </c>
      <c r="AM100" t="s">
        <v>131</v>
      </c>
      <c r="AN100" t="s">
        <v>111</v>
      </c>
      <c r="AO100" t="s">
        <v>111</v>
      </c>
      <c r="AP100" t="s">
        <v>111</v>
      </c>
      <c r="AQ100">
        <v>5</v>
      </c>
      <c r="AR100">
        <v>5</v>
      </c>
      <c r="AS100">
        <v>5</v>
      </c>
      <c r="AT100" t="s">
        <v>131</v>
      </c>
      <c r="AU100">
        <v>24</v>
      </c>
      <c r="AV100" t="s">
        <v>80</v>
      </c>
      <c r="AW100" t="s">
        <v>111</v>
      </c>
      <c r="AX100">
        <v>5</v>
      </c>
      <c r="AY100" t="s">
        <v>111</v>
      </c>
      <c r="AZ100" t="s">
        <v>111</v>
      </c>
      <c r="BA100">
        <v>5</v>
      </c>
      <c r="BB100">
        <v>5</v>
      </c>
      <c r="BC100" t="s">
        <v>111</v>
      </c>
      <c r="BD100">
        <v>5</v>
      </c>
      <c r="BE100">
        <v>4</v>
      </c>
      <c r="BF100">
        <v>14</v>
      </c>
      <c r="BG100" t="s">
        <v>86</v>
      </c>
      <c r="BH100" t="s">
        <v>171</v>
      </c>
      <c r="BI100">
        <v>5</v>
      </c>
      <c r="BJ100">
        <v>5.6</v>
      </c>
      <c r="BK100">
        <v>5.0999999999999996</v>
      </c>
      <c r="BL100">
        <v>6</v>
      </c>
    </row>
    <row r="101" spans="1:64" x14ac:dyDescent="0.25">
      <c r="A101" t="s">
        <v>350</v>
      </c>
      <c r="B101">
        <v>30</v>
      </c>
      <c r="C101" t="s">
        <v>278</v>
      </c>
      <c r="D101" t="s">
        <v>89</v>
      </c>
      <c r="E101" t="s">
        <v>114</v>
      </c>
      <c r="F101" t="s">
        <v>244</v>
      </c>
      <c r="G101" t="s">
        <v>245</v>
      </c>
      <c r="H101" t="s">
        <v>124</v>
      </c>
      <c r="I101" t="s">
        <v>166</v>
      </c>
      <c r="J101" t="s">
        <v>250</v>
      </c>
      <c r="K101" t="s">
        <v>143</v>
      </c>
      <c r="L101">
        <v>4</v>
      </c>
      <c r="M101">
        <v>6</v>
      </c>
      <c r="N101" t="s">
        <v>74</v>
      </c>
      <c r="O101" t="s">
        <v>93</v>
      </c>
      <c r="P101" t="s">
        <v>100</v>
      </c>
      <c r="Q101" t="s">
        <v>101</v>
      </c>
      <c r="R101" t="s">
        <v>111</v>
      </c>
      <c r="S101" t="s">
        <v>111</v>
      </c>
      <c r="T101" t="s">
        <v>111</v>
      </c>
      <c r="U101" t="s">
        <v>80</v>
      </c>
      <c r="V101" t="s">
        <v>111</v>
      </c>
      <c r="W101" t="s">
        <v>111</v>
      </c>
      <c r="X101" t="s">
        <v>322</v>
      </c>
      <c r="Y101">
        <v>8</v>
      </c>
      <c r="Z101">
        <v>7.5</v>
      </c>
      <c r="AA101" t="s">
        <v>266</v>
      </c>
      <c r="AB101" t="s">
        <v>103</v>
      </c>
      <c r="AC101">
        <v>8</v>
      </c>
      <c r="AD101">
        <v>5</v>
      </c>
      <c r="AE101">
        <v>2</v>
      </c>
      <c r="AF101">
        <v>5</v>
      </c>
      <c r="AG101">
        <v>4</v>
      </c>
      <c r="AH101">
        <v>4</v>
      </c>
      <c r="AI101" t="s">
        <v>111</v>
      </c>
      <c r="AJ101" t="s">
        <v>111</v>
      </c>
      <c r="AK101">
        <v>22</v>
      </c>
      <c r="AL101">
        <v>55</v>
      </c>
      <c r="AM101" t="s">
        <v>85</v>
      </c>
      <c r="AN101" t="s">
        <v>111</v>
      </c>
      <c r="AO101" t="s">
        <v>274</v>
      </c>
      <c r="AP101" t="s">
        <v>274</v>
      </c>
      <c r="AQ101">
        <v>6</v>
      </c>
      <c r="AR101">
        <v>6</v>
      </c>
      <c r="AS101">
        <v>6</v>
      </c>
      <c r="AT101" t="s">
        <v>266</v>
      </c>
      <c r="AU101">
        <v>30</v>
      </c>
      <c r="AV101" t="s">
        <v>111</v>
      </c>
      <c r="AW101" t="s">
        <v>274</v>
      </c>
      <c r="AX101">
        <v>4</v>
      </c>
      <c r="AY101" t="s">
        <v>274</v>
      </c>
      <c r="AZ101" t="s">
        <v>111</v>
      </c>
      <c r="BA101">
        <v>4</v>
      </c>
      <c r="BB101">
        <v>4</v>
      </c>
      <c r="BC101" t="s">
        <v>274</v>
      </c>
      <c r="BD101">
        <v>4</v>
      </c>
      <c r="BE101">
        <v>5</v>
      </c>
      <c r="BF101">
        <v>18</v>
      </c>
      <c r="BG101" t="s">
        <v>117</v>
      </c>
      <c r="BH101" t="s">
        <v>171</v>
      </c>
      <c r="BI101">
        <v>4.5</v>
      </c>
      <c r="BJ101">
        <v>5</v>
      </c>
      <c r="BK101">
        <v>5.8</v>
      </c>
      <c r="BL101">
        <v>5.5</v>
      </c>
    </row>
    <row r="102" spans="1:64" x14ac:dyDescent="0.25">
      <c r="A102" t="s">
        <v>351</v>
      </c>
      <c r="B102">
        <v>27</v>
      </c>
      <c r="C102" t="s">
        <v>154</v>
      </c>
      <c r="D102" t="s">
        <v>66</v>
      </c>
      <c r="E102" t="s">
        <v>149</v>
      </c>
      <c r="F102" t="s">
        <v>218</v>
      </c>
      <c r="G102" t="s">
        <v>219</v>
      </c>
      <c r="H102" t="s">
        <v>279</v>
      </c>
      <c r="I102" t="s">
        <v>166</v>
      </c>
      <c r="J102" t="s">
        <v>311</v>
      </c>
      <c r="K102" t="s">
        <v>73</v>
      </c>
      <c r="L102">
        <v>4.5</v>
      </c>
      <c r="M102">
        <v>7</v>
      </c>
      <c r="N102" t="s">
        <v>74</v>
      </c>
      <c r="O102" t="s">
        <v>220</v>
      </c>
      <c r="P102" t="s">
        <v>100</v>
      </c>
      <c r="Q102" t="s">
        <v>101</v>
      </c>
      <c r="R102" t="s">
        <v>111</v>
      </c>
      <c r="S102" t="s">
        <v>111</v>
      </c>
      <c r="T102" t="s">
        <v>111</v>
      </c>
      <c r="U102" t="s">
        <v>80</v>
      </c>
      <c r="V102" t="s">
        <v>111</v>
      </c>
      <c r="W102" t="s">
        <v>111</v>
      </c>
      <c r="X102" t="s">
        <v>352</v>
      </c>
      <c r="Y102">
        <v>8.5</v>
      </c>
      <c r="Z102">
        <v>7.5</v>
      </c>
      <c r="AA102" t="s">
        <v>126</v>
      </c>
      <c r="AB102" t="s">
        <v>103</v>
      </c>
      <c r="AC102">
        <v>8.5</v>
      </c>
      <c r="AD102">
        <v>5</v>
      </c>
      <c r="AE102">
        <v>3</v>
      </c>
      <c r="AF102">
        <v>5</v>
      </c>
      <c r="AG102">
        <v>5</v>
      </c>
      <c r="AH102">
        <v>4</v>
      </c>
      <c r="AI102" t="s">
        <v>111</v>
      </c>
      <c r="AJ102" t="s">
        <v>111</v>
      </c>
      <c r="AK102">
        <v>20</v>
      </c>
      <c r="AL102">
        <v>50</v>
      </c>
      <c r="AM102" t="s">
        <v>131</v>
      </c>
      <c r="AN102" t="s">
        <v>111</v>
      </c>
      <c r="AO102" t="s">
        <v>111</v>
      </c>
      <c r="AP102" t="s">
        <v>111</v>
      </c>
      <c r="AQ102">
        <v>5</v>
      </c>
      <c r="AR102">
        <v>5</v>
      </c>
      <c r="AS102">
        <v>5</v>
      </c>
      <c r="AT102" t="s">
        <v>131</v>
      </c>
      <c r="AU102">
        <v>26</v>
      </c>
      <c r="AV102" t="s">
        <v>80</v>
      </c>
      <c r="AW102" t="s">
        <v>111</v>
      </c>
      <c r="AX102">
        <v>5</v>
      </c>
      <c r="AY102" t="s">
        <v>111</v>
      </c>
      <c r="AZ102" t="s">
        <v>111</v>
      </c>
      <c r="BA102">
        <v>5</v>
      </c>
      <c r="BB102">
        <v>5</v>
      </c>
      <c r="BC102" t="s">
        <v>111</v>
      </c>
      <c r="BD102">
        <v>5</v>
      </c>
      <c r="BE102">
        <v>4</v>
      </c>
      <c r="BF102">
        <v>14</v>
      </c>
      <c r="BG102" t="s">
        <v>86</v>
      </c>
      <c r="BH102" t="s">
        <v>171</v>
      </c>
      <c r="BI102">
        <v>5</v>
      </c>
      <c r="BJ102">
        <v>5.6</v>
      </c>
      <c r="BK102">
        <v>5.0999999999999996</v>
      </c>
      <c r="BL102">
        <v>6</v>
      </c>
    </row>
    <row r="103" spans="1:64" x14ac:dyDescent="0.25">
      <c r="A103" t="s">
        <v>353</v>
      </c>
      <c r="B103">
        <v>35</v>
      </c>
      <c r="C103" t="s">
        <v>278</v>
      </c>
      <c r="D103" t="s">
        <v>66</v>
      </c>
      <c r="E103" t="s">
        <v>107</v>
      </c>
      <c r="F103" t="s">
        <v>190</v>
      </c>
      <c r="G103" t="s">
        <v>191</v>
      </c>
      <c r="H103" t="s">
        <v>279</v>
      </c>
      <c r="I103" t="s">
        <v>166</v>
      </c>
      <c r="J103" t="s">
        <v>285</v>
      </c>
      <c r="K103" t="s">
        <v>290</v>
      </c>
      <c r="L103">
        <v>2</v>
      </c>
      <c r="M103">
        <v>10</v>
      </c>
      <c r="N103" t="s">
        <v>74</v>
      </c>
      <c r="O103" t="s">
        <v>135</v>
      </c>
      <c r="P103" t="s">
        <v>273</v>
      </c>
      <c r="Q103" t="s">
        <v>295</v>
      </c>
      <c r="R103" t="s">
        <v>274</v>
      </c>
      <c r="S103" t="s">
        <v>274</v>
      </c>
      <c r="T103" t="s">
        <v>274</v>
      </c>
      <c r="U103" t="s">
        <v>286</v>
      </c>
      <c r="V103" t="s">
        <v>274</v>
      </c>
      <c r="W103" t="s">
        <v>274</v>
      </c>
      <c r="X103" t="s">
        <v>296</v>
      </c>
      <c r="Y103">
        <v>6</v>
      </c>
      <c r="Z103">
        <v>8.5</v>
      </c>
      <c r="AA103" t="s">
        <v>336</v>
      </c>
      <c r="AB103" t="s">
        <v>78</v>
      </c>
      <c r="AC103">
        <v>9</v>
      </c>
      <c r="AD103">
        <v>3</v>
      </c>
      <c r="AE103">
        <v>1</v>
      </c>
      <c r="AF103">
        <v>3</v>
      </c>
      <c r="AG103">
        <v>2</v>
      </c>
      <c r="AH103">
        <v>2</v>
      </c>
      <c r="AI103" t="s">
        <v>274</v>
      </c>
      <c r="AJ103" t="s">
        <v>274</v>
      </c>
      <c r="AK103">
        <v>40</v>
      </c>
      <c r="AL103">
        <v>100</v>
      </c>
      <c r="AM103" t="s">
        <v>85</v>
      </c>
      <c r="AN103" t="s">
        <v>274</v>
      </c>
      <c r="AO103" t="s">
        <v>274</v>
      </c>
      <c r="AP103" t="s">
        <v>274</v>
      </c>
      <c r="AQ103">
        <v>9</v>
      </c>
      <c r="AR103">
        <v>8</v>
      </c>
      <c r="AS103">
        <v>9</v>
      </c>
      <c r="AT103" t="s">
        <v>336</v>
      </c>
      <c r="AU103">
        <v>58</v>
      </c>
      <c r="AV103" t="s">
        <v>274</v>
      </c>
      <c r="AW103" t="s">
        <v>274</v>
      </c>
      <c r="AX103">
        <v>2</v>
      </c>
      <c r="AY103" t="s">
        <v>83</v>
      </c>
      <c r="AZ103" t="s">
        <v>274</v>
      </c>
      <c r="BA103">
        <v>2</v>
      </c>
      <c r="BB103">
        <v>2</v>
      </c>
      <c r="BC103" t="s">
        <v>274</v>
      </c>
      <c r="BD103">
        <v>2</v>
      </c>
      <c r="BE103">
        <v>8</v>
      </c>
      <c r="BF103">
        <v>50</v>
      </c>
      <c r="BG103" t="s">
        <v>306</v>
      </c>
      <c r="BH103" t="s">
        <v>281</v>
      </c>
      <c r="BI103">
        <v>1.5</v>
      </c>
      <c r="BJ103">
        <v>2</v>
      </c>
      <c r="BK103">
        <v>9.1999999999999993</v>
      </c>
      <c r="BL103">
        <v>2</v>
      </c>
    </row>
    <row r="104" spans="1:64" x14ac:dyDescent="0.25">
      <c r="A104" t="s">
        <v>354</v>
      </c>
      <c r="B104">
        <v>29</v>
      </c>
      <c r="C104" t="s">
        <v>278</v>
      </c>
      <c r="D104" t="s">
        <v>89</v>
      </c>
      <c r="E104" t="s">
        <v>90</v>
      </c>
      <c r="F104" t="s">
        <v>253</v>
      </c>
      <c r="G104" t="s">
        <v>254</v>
      </c>
      <c r="H104" t="s">
        <v>124</v>
      </c>
      <c r="I104" t="s">
        <v>166</v>
      </c>
      <c r="J104" t="s">
        <v>167</v>
      </c>
      <c r="K104" t="s">
        <v>143</v>
      </c>
      <c r="L104">
        <v>5</v>
      </c>
      <c r="M104">
        <v>7</v>
      </c>
      <c r="N104" t="s">
        <v>74</v>
      </c>
      <c r="O104" t="s">
        <v>75</v>
      </c>
      <c r="P104" t="s">
        <v>100</v>
      </c>
      <c r="Q104" t="s">
        <v>101</v>
      </c>
      <c r="R104" t="s">
        <v>102</v>
      </c>
      <c r="S104" t="s">
        <v>111</v>
      </c>
      <c r="T104" t="s">
        <v>111</v>
      </c>
      <c r="U104" t="s">
        <v>80</v>
      </c>
      <c r="V104" t="s">
        <v>111</v>
      </c>
      <c r="W104" t="s">
        <v>102</v>
      </c>
      <c r="X104" t="s">
        <v>355</v>
      </c>
      <c r="Y104">
        <v>9</v>
      </c>
      <c r="Z104">
        <v>7</v>
      </c>
      <c r="AA104" t="s">
        <v>126</v>
      </c>
      <c r="AB104" t="s">
        <v>103</v>
      </c>
      <c r="AC104">
        <v>8</v>
      </c>
      <c r="AD104">
        <v>6</v>
      </c>
      <c r="AE104">
        <v>3</v>
      </c>
      <c r="AF104">
        <v>5</v>
      </c>
      <c r="AG104">
        <v>5</v>
      </c>
      <c r="AH104">
        <v>4</v>
      </c>
      <c r="AI104" t="s">
        <v>111</v>
      </c>
      <c r="AJ104" t="s">
        <v>111</v>
      </c>
      <c r="AK104">
        <v>18</v>
      </c>
      <c r="AL104">
        <v>44</v>
      </c>
      <c r="AM104" t="s">
        <v>131</v>
      </c>
      <c r="AN104" t="s">
        <v>111</v>
      </c>
      <c r="AO104" t="s">
        <v>111</v>
      </c>
      <c r="AP104" t="s">
        <v>111</v>
      </c>
      <c r="AQ104">
        <v>5</v>
      </c>
      <c r="AR104">
        <v>5</v>
      </c>
      <c r="AS104">
        <v>5</v>
      </c>
      <c r="AT104" t="s">
        <v>131</v>
      </c>
      <c r="AU104">
        <v>24</v>
      </c>
      <c r="AV104" t="s">
        <v>80</v>
      </c>
      <c r="AW104" t="s">
        <v>111</v>
      </c>
      <c r="AX104">
        <v>5</v>
      </c>
      <c r="AY104" t="s">
        <v>102</v>
      </c>
      <c r="AZ104" t="s">
        <v>111</v>
      </c>
      <c r="BA104">
        <v>5</v>
      </c>
      <c r="BB104">
        <v>5</v>
      </c>
      <c r="BC104" t="s">
        <v>111</v>
      </c>
      <c r="BD104">
        <v>5</v>
      </c>
      <c r="BE104">
        <v>4</v>
      </c>
      <c r="BF104">
        <v>14</v>
      </c>
      <c r="BG104" t="s">
        <v>86</v>
      </c>
      <c r="BH104" t="s">
        <v>171</v>
      </c>
      <c r="BI104">
        <v>5.2</v>
      </c>
      <c r="BJ104">
        <v>5.8</v>
      </c>
      <c r="BK104">
        <v>5</v>
      </c>
      <c r="BL104">
        <v>6.2</v>
      </c>
    </row>
    <row r="105" spans="1:64" x14ac:dyDescent="0.25">
      <c r="A105" t="s">
        <v>356</v>
      </c>
      <c r="B105">
        <v>26</v>
      </c>
      <c r="C105" t="s">
        <v>154</v>
      </c>
      <c r="D105" t="s">
        <v>66</v>
      </c>
      <c r="E105" t="s">
        <v>67</v>
      </c>
      <c r="F105" t="s">
        <v>133</v>
      </c>
      <c r="G105" t="s">
        <v>134</v>
      </c>
      <c r="H105" t="s">
        <v>124</v>
      </c>
      <c r="I105" t="s">
        <v>166</v>
      </c>
      <c r="J105" t="s">
        <v>72</v>
      </c>
      <c r="K105" t="s">
        <v>73</v>
      </c>
      <c r="L105">
        <v>5</v>
      </c>
      <c r="M105">
        <v>5</v>
      </c>
      <c r="N105" t="s">
        <v>135</v>
      </c>
      <c r="O105" t="s">
        <v>74</v>
      </c>
      <c r="P105" t="s">
        <v>100</v>
      </c>
      <c r="Q105" t="s">
        <v>101</v>
      </c>
      <c r="R105" t="s">
        <v>111</v>
      </c>
      <c r="S105" t="s">
        <v>102</v>
      </c>
      <c r="T105" t="s">
        <v>111</v>
      </c>
      <c r="U105" t="s">
        <v>80</v>
      </c>
      <c r="V105" t="s">
        <v>111</v>
      </c>
      <c r="W105" t="s">
        <v>102</v>
      </c>
      <c r="X105" t="s">
        <v>327</v>
      </c>
      <c r="Y105">
        <v>9</v>
      </c>
      <c r="Z105">
        <v>7</v>
      </c>
      <c r="AA105" t="s">
        <v>126</v>
      </c>
      <c r="AB105" t="s">
        <v>103</v>
      </c>
      <c r="AC105">
        <v>7.5</v>
      </c>
      <c r="AD105">
        <v>6</v>
      </c>
      <c r="AE105">
        <v>3</v>
      </c>
      <c r="AF105">
        <v>5</v>
      </c>
      <c r="AG105">
        <v>5</v>
      </c>
      <c r="AH105">
        <v>5</v>
      </c>
      <c r="AI105" t="s">
        <v>111</v>
      </c>
      <c r="AJ105" t="s">
        <v>111</v>
      </c>
      <c r="AK105">
        <v>18</v>
      </c>
      <c r="AL105">
        <v>44</v>
      </c>
      <c r="AM105" t="s">
        <v>131</v>
      </c>
      <c r="AN105" t="s">
        <v>111</v>
      </c>
      <c r="AO105" t="s">
        <v>111</v>
      </c>
      <c r="AP105" t="s">
        <v>111</v>
      </c>
      <c r="AQ105">
        <v>5</v>
      </c>
      <c r="AR105">
        <v>5</v>
      </c>
      <c r="AS105">
        <v>5</v>
      </c>
      <c r="AT105" t="s">
        <v>131</v>
      </c>
      <c r="AU105">
        <v>22</v>
      </c>
      <c r="AV105" t="s">
        <v>80</v>
      </c>
      <c r="AW105" t="s">
        <v>111</v>
      </c>
      <c r="AX105">
        <v>5</v>
      </c>
      <c r="AY105" t="s">
        <v>102</v>
      </c>
      <c r="AZ105" t="s">
        <v>111</v>
      </c>
      <c r="BA105">
        <v>5</v>
      </c>
      <c r="BB105">
        <v>5</v>
      </c>
      <c r="BC105" t="s">
        <v>111</v>
      </c>
      <c r="BD105">
        <v>5</v>
      </c>
      <c r="BE105">
        <v>4</v>
      </c>
      <c r="BF105">
        <v>12</v>
      </c>
      <c r="BG105" t="s">
        <v>86</v>
      </c>
      <c r="BH105" t="s">
        <v>171</v>
      </c>
      <c r="BI105">
        <v>5.5</v>
      </c>
      <c r="BJ105">
        <v>6</v>
      </c>
      <c r="BK105">
        <v>4.8</v>
      </c>
      <c r="BL105">
        <v>6.5</v>
      </c>
    </row>
    <row r="106" spans="1:64" x14ac:dyDescent="0.25">
      <c r="A106" t="s">
        <v>357</v>
      </c>
      <c r="B106">
        <v>32</v>
      </c>
      <c r="C106" t="s">
        <v>278</v>
      </c>
      <c r="D106" t="s">
        <v>89</v>
      </c>
      <c r="E106" t="s">
        <v>97</v>
      </c>
      <c r="F106" t="s">
        <v>138</v>
      </c>
      <c r="G106" t="s">
        <v>139</v>
      </c>
      <c r="H106" t="s">
        <v>279</v>
      </c>
      <c r="I106" t="s">
        <v>166</v>
      </c>
      <c r="J106" t="s">
        <v>242</v>
      </c>
      <c r="K106" t="s">
        <v>290</v>
      </c>
      <c r="L106">
        <v>3</v>
      </c>
      <c r="M106">
        <v>8</v>
      </c>
      <c r="N106" t="s">
        <v>272</v>
      </c>
      <c r="O106" t="s">
        <v>135</v>
      </c>
      <c r="P106" t="s">
        <v>273</v>
      </c>
      <c r="Q106" t="s">
        <v>101</v>
      </c>
      <c r="R106" t="s">
        <v>274</v>
      </c>
      <c r="S106" t="s">
        <v>111</v>
      </c>
      <c r="T106" t="s">
        <v>274</v>
      </c>
      <c r="U106" t="s">
        <v>80</v>
      </c>
      <c r="V106" t="s">
        <v>274</v>
      </c>
      <c r="W106" t="s">
        <v>274</v>
      </c>
      <c r="X106" t="s">
        <v>358</v>
      </c>
      <c r="Y106">
        <v>7</v>
      </c>
      <c r="Z106">
        <v>8</v>
      </c>
      <c r="AA106" t="s">
        <v>266</v>
      </c>
      <c r="AB106" t="s">
        <v>275</v>
      </c>
      <c r="AC106">
        <v>9</v>
      </c>
      <c r="AD106">
        <v>4</v>
      </c>
      <c r="AE106">
        <v>2</v>
      </c>
      <c r="AF106">
        <v>4</v>
      </c>
      <c r="AG106">
        <v>3</v>
      </c>
      <c r="AH106">
        <v>3</v>
      </c>
      <c r="AI106" t="s">
        <v>111</v>
      </c>
      <c r="AJ106" t="s">
        <v>274</v>
      </c>
      <c r="AK106">
        <v>28</v>
      </c>
      <c r="AL106">
        <v>70</v>
      </c>
      <c r="AM106" t="s">
        <v>85</v>
      </c>
      <c r="AN106" t="s">
        <v>274</v>
      </c>
      <c r="AO106" t="s">
        <v>111</v>
      </c>
      <c r="AP106" t="s">
        <v>274</v>
      </c>
      <c r="AQ106">
        <v>7</v>
      </c>
      <c r="AR106">
        <v>6</v>
      </c>
      <c r="AS106">
        <v>7</v>
      </c>
      <c r="AT106" t="s">
        <v>266</v>
      </c>
      <c r="AU106">
        <v>40</v>
      </c>
      <c r="AV106" t="s">
        <v>274</v>
      </c>
      <c r="AW106" t="s">
        <v>274</v>
      </c>
      <c r="AX106">
        <v>3</v>
      </c>
      <c r="AY106" t="s">
        <v>274</v>
      </c>
      <c r="AZ106" t="s">
        <v>274</v>
      </c>
      <c r="BA106">
        <v>3</v>
      </c>
      <c r="BB106">
        <v>3</v>
      </c>
      <c r="BC106" t="s">
        <v>274</v>
      </c>
      <c r="BD106">
        <v>3</v>
      </c>
      <c r="BE106">
        <v>6</v>
      </c>
      <c r="BF106">
        <v>28</v>
      </c>
      <c r="BG106" t="s">
        <v>86</v>
      </c>
      <c r="BH106" t="s">
        <v>281</v>
      </c>
      <c r="BI106">
        <v>3</v>
      </c>
      <c r="BJ106">
        <v>3.6</v>
      </c>
      <c r="BK106">
        <v>7.2</v>
      </c>
      <c r="BL106">
        <v>3.8</v>
      </c>
    </row>
    <row r="107" spans="1:64" x14ac:dyDescent="0.25">
      <c r="A107" t="s">
        <v>359</v>
      </c>
      <c r="B107">
        <v>28</v>
      </c>
      <c r="C107" t="s">
        <v>278</v>
      </c>
      <c r="D107" t="s">
        <v>66</v>
      </c>
      <c r="E107" t="s">
        <v>107</v>
      </c>
      <c r="F107" t="s">
        <v>160</v>
      </c>
      <c r="G107" t="s">
        <v>161</v>
      </c>
      <c r="H107" t="s">
        <v>279</v>
      </c>
      <c r="I107" t="s">
        <v>166</v>
      </c>
      <c r="J107" t="s">
        <v>311</v>
      </c>
      <c r="K107" t="s">
        <v>73</v>
      </c>
      <c r="L107">
        <v>3.5</v>
      </c>
      <c r="M107">
        <v>8</v>
      </c>
      <c r="N107" t="s">
        <v>74</v>
      </c>
      <c r="O107" t="s">
        <v>130</v>
      </c>
      <c r="P107" t="s">
        <v>273</v>
      </c>
      <c r="Q107" t="s">
        <v>101</v>
      </c>
      <c r="R107" t="s">
        <v>111</v>
      </c>
      <c r="S107" t="s">
        <v>111</v>
      </c>
      <c r="T107" t="s">
        <v>274</v>
      </c>
      <c r="U107" t="s">
        <v>80</v>
      </c>
      <c r="V107" t="s">
        <v>274</v>
      </c>
      <c r="W107" t="s">
        <v>111</v>
      </c>
      <c r="X107" t="s">
        <v>335</v>
      </c>
      <c r="Y107">
        <v>7.5</v>
      </c>
      <c r="Z107">
        <v>7.5</v>
      </c>
      <c r="AA107" t="s">
        <v>266</v>
      </c>
      <c r="AB107" t="s">
        <v>275</v>
      </c>
      <c r="AC107">
        <v>9</v>
      </c>
      <c r="AD107">
        <v>4</v>
      </c>
      <c r="AE107">
        <v>2</v>
      </c>
      <c r="AF107">
        <v>4</v>
      </c>
      <c r="AG107">
        <v>4</v>
      </c>
      <c r="AH107">
        <v>3</v>
      </c>
      <c r="AI107" t="s">
        <v>111</v>
      </c>
      <c r="AJ107" t="s">
        <v>274</v>
      </c>
      <c r="AK107">
        <v>26</v>
      </c>
      <c r="AL107">
        <v>65</v>
      </c>
      <c r="AM107" t="s">
        <v>85</v>
      </c>
      <c r="AN107" t="s">
        <v>274</v>
      </c>
      <c r="AO107" t="s">
        <v>111</v>
      </c>
      <c r="AP107" t="s">
        <v>274</v>
      </c>
      <c r="AQ107">
        <v>7</v>
      </c>
      <c r="AR107">
        <v>6</v>
      </c>
      <c r="AS107">
        <v>7</v>
      </c>
      <c r="AT107" t="s">
        <v>266</v>
      </c>
      <c r="AU107">
        <v>40</v>
      </c>
      <c r="AV107" t="s">
        <v>274</v>
      </c>
      <c r="AW107" t="s">
        <v>274</v>
      </c>
      <c r="AX107">
        <v>3</v>
      </c>
      <c r="AY107" t="s">
        <v>274</v>
      </c>
      <c r="AZ107" t="s">
        <v>274</v>
      </c>
      <c r="BA107">
        <v>3</v>
      </c>
      <c r="BB107">
        <v>3</v>
      </c>
      <c r="BC107" t="s">
        <v>274</v>
      </c>
      <c r="BD107">
        <v>3</v>
      </c>
      <c r="BE107">
        <v>6</v>
      </c>
      <c r="BF107">
        <v>26</v>
      </c>
      <c r="BG107" t="s">
        <v>86</v>
      </c>
      <c r="BH107" t="s">
        <v>281</v>
      </c>
      <c r="BI107">
        <v>3.2</v>
      </c>
      <c r="BJ107">
        <v>3.8</v>
      </c>
      <c r="BK107">
        <v>7</v>
      </c>
      <c r="BL107">
        <v>4</v>
      </c>
    </row>
    <row r="108" spans="1:64" x14ac:dyDescent="0.25">
      <c r="A108" t="s">
        <v>360</v>
      </c>
      <c r="B108">
        <v>34</v>
      </c>
      <c r="C108" t="s">
        <v>278</v>
      </c>
      <c r="D108" t="s">
        <v>89</v>
      </c>
      <c r="E108" t="s">
        <v>114</v>
      </c>
      <c r="F108" t="s">
        <v>228</v>
      </c>
      <c r="G108" t="s">
        <v>229</v>
      </c>
      <c r="H108" t="s">
        <v>124</v>
      </c>
      <c r="I108" t="s">
        <v>166</v>
      </c>
      <c r="J108" t="s">
        <v>264</v>
      </c>
      <c r="K108" t="s">
        <v>290</v>
      </c>
      <c r="L108">
        <v>4</v>
      </c>
      <c r="M108">
        <v>8</v>
      </c>
      <c r="N108" t="s">
        <v>74</v>
      </c>
      <c r="O108" t="s">
        <v>75</v>
      </c>
      <c r="P108" t="s">
        <v>100</v>
      </c>
      <c r="Q108" t="s">
        <v>101</v>
      </c>
      <c r="R108" t="s">
        <v>111</v>
      </c>
      <c r="S108" t="s">
        <v>111</v>
      </c>
      <c r="T108" t="s">
        <v>111</v>
      </c>
      <c r="U108" t="s">
        <v>80</v>
      </c>
      <c r="V108" t="s">
        <v>111</v>
      </c>
      <c r="W108" t="s">
        <v>111</v>
      </c>
      <c r="X108" t="s">
        <v>361</v>
      </c>
      <c r="Y108">
        <v>8</v>
      </c>
      <c r="Z108">
        <v>7.5</v>
      </c>
      <c r="AA108" t="s">
        <v>266</v>
      </c>
      <c r="AB108" t="s">
        <v>103</v>
      </c>
      <c r="AC108">
        <v>8.5</v>
      </c>
      <c r="AD108">
        <v>5</v>
      </c>
      <c r="AE108">
        <v>2</v>
      </c>
      <c r="AF108">
        <v>5</v>
      </c>
      <c r="AG108">
        <v>4</v>
      </c>
      <c r="AH108">
        <v>4</v>
      </c>
      <c r="AI108" t="s">
        <v>111</v>
      </c>
      <c r="AJ108" t="s">
        <v>111</v>
      </c>
      <c r="AK108">
        <v>22</v>
      </c>
      <c r="AL108">
        <v>55</v>
      </c>
      <c r="AM108" t="s">
        <v>85</v>
      </c>
      <c r="AN108" t="s">
        <v>111</v>
      </c>
      <c r="AO108" t="s">
        <v>274</v>
      </c>
      <c r="AP108" t="s">
        <v>274</v>
      </c>
      <c r="AQ108">
        <v>6</v>
      </c>
      <c r="AR108">
        <v>6</v>
      </c>
      <c r="AS108">
        <v>6</v>
      </c>
      <c r="AT108" t="s">
        <v>266</v>
      </c>
      <c r="AU108">
        <v>30</v>
      </c>
      <c r="AV108" t="s">
        <v>111</v>
      </c>
      <c r="AW108" t="s">
        <v>274</v>
      </c>
      <c r="AX108">
        <v>4</v>
      </c>
      <c r="AY108" t="s">
        <v>274</v>
      </c>
      <c r="AZ108" t="s">
        <v>111</v>
      </c>
      <c r="BA108">
        <v>4</v>
      </c>
      <c r="BB108">
        <v>4</v>
      </c>
      <c r="BC108" t="s">
        <v>274</v>
      </c>
      <c r="BD108">
        <v>4</v>
      </c>
      <c r="BE108">
        <v>5</v>
      </c>
      <c r="BF108">
        <v>20</v>
      </c>
      <c r="BG108" t="s">
        <v>117</v>
      </c>
      <c r="BH108" t="s">
        <v>171</v>
      </c>
      <c r="BI108">
        <v>4.5</v>
      </c>
      <c r="BJ108">
        <v>5</v>
      </c>
      <c r="BK108">
        <v>5.8</v>
      </c>
      <c r="BL108">
        <v>5.5</v>
      </c>
    </row>
    <row r="109" spans="1:64" x14ac:dyDescent="0.25">
      <c r="A109" t="s">
        <v>362</v>
      </c>
      <c r="B109">
        <v>27</v>
      </c>
      <c r="C109" t="s">
        <v>154</v>
      </c>
      <c r="D109" t="s">
        <v>66</v>
      </c>
      <c r="E109" t="s">
        <v>90</v>
      </c>
      <c r="F109" t="s">
        <v>207</v>
      </c>
      <c r="G109" t="s">
        <v>208</v>
      </c>
      <c r="H109" t="s">
        <v>124</v>
      </c>
      <c r="I109" t="s">
        <v>166</v>
      </c>
      <c r="J109" t="s">
        <v>179</v>
      </c>
      <c r="K109" t="s">
        <v>143</v>
      </c>
      <c r="L109">
        <v>5.5</v>
      </c>
      <c r="M109">
        <v>6</v>
      </c>
      <c r="N109" t="s">
        <v>135</v>
      </c>
      <c r="O109" t="s">
        <v>93</v>
      </c>
      <c r="P109" t="s">
        <v>100</v>
      </c>
      <c r="Q109" t="s">
        <v>101</v>
      </c>
      <c r="R109" t="s">
        <v>102</v>
      </c>
      <c r="S109" t="s">
        <v>102</v>
      </c>
      <c r="T109" t="s">
        <v>111</v>
      </c>
      <c r="U109" t="s">
        <v>80</v>
      </c>
      <c r="V109" t="s">
        <v>80</v>
      </c>
      <c r="W109" t="s">
        <v>102</v>
      </c>
      <c r="X109" t="s">
        <v>363</v>
      </c>
      <c r="Y109">
        <v>9.5</v>
      </c>
      <c r="Z109">
        <v>7</v>
      </c>
      <c r="AA109" t="s">
        <v>126</v>
      </c>
      <c r="AB109" t="s">
        <v>103</v>
      </c>
      <c r="AC109">
        <v>7.5</v>
      </c>
      <c r="AD109">
        <v>6</v>
      </c>
      <c r="AE109">
        <v>3</v>
      </c>
      <c r="AF109">
        <v>6</v>
      </c>
      <c r="AG109">
        <v>5</v>
      </c>
      <c r="AH109">
        <v>5</v>
      </c>
      <c r="AI109" t="s">
        <v>80</v>
      </c>
      <c r="AJ109" t="s">
        <v>111</v>
      </c>
      <c r="AK109">
        <v>16</v>
      </c>
      <c r="AL109">
        <v>38</v>
      </c>
      <c r="AM109" t="s">
        <v>131</v>
      </c>
      <c r="AN109" t="s">
        <v>111</v>
      </c>
      <c r="AO109" t="s">
        <v>80</v>
      </c>
      <c r="AP109" t="s">
        <v>111</v>
      </c>
      <c r="AQ109">
        <v>5</v>
      </c>
      <c r="AR109">
        <v>4</v>
      </c>
      <c r="AS109">
        <v>5</v>
      </c>
      <c r="AT109" t="s">
        <v>131</v>
      </c>
      <c r="AU109">
        <v>20</v>
      </c>
      <c r="AV109" t="s">
        <v>80</v>
      </c>
      <c r="AW109" t="s">
        <v>80</v>
      </c>
      <c r="AX109">
        <v>5</v>
      </c>
      <c r="AY109" t="s">
        <v>102</v>
      </c>
      <c r="AZ109" t="s">
        <v>80</v>
      </c>
      <c r="BA109">
        <v>6</v>
      </c>
      <c r="BB109">
        <v>5</v>
      </c>
      <c r="BC109" t="s">
        <v>111</v>
      </c>
      <c r="BD109">
        <v>6</v>
      </c>
      <c r="BE109">
        <v>4</v>
      </c>
      <c r="BF109">
        <v>10</v>
      </c>
      <c r="BG109" t="s">
        <v>86</v>
      </c>
      <c r="BH109" t="s">
        <v>131</v>
      </c>
      <c r="BI109">
        <v>5.8</v>
      </c>
      <c r="BJ109">
        <v>6.4</v>
      </c>
      <c r="BK109">
        <v>4.5999999999999996</v>
      </c>
      <c r="BL109">
        <v>6.8</v>
      </c>
    </row>
    <row r="110" spans="1:64" x14ac:dyDescent="0.25">
      <c r="A110" t="s">
        <v>364</v>
      </c>
      <c r="B110">
        <v>31</v>
      </c>
      <c r="C110" t="s">
        <v>278</v>
      </c>
      <c r="D110" t="s">
        <v>89</v>
      </c>
      <c r="E110" t="s">
        <v>67</v>
      </c>
      <c r="F110" t="s">
        <v>68</v>
      </c>
      <c r="G110" t="s">
        <v>69</v>
      </c>
      <c r="H110" t="s">
        <v>279</v>
      </c>
      <c r="I110" t="s">
        <v>166</v>
      </c>
      <c r="J110" t="s">
        <v>167</v>
      </c>
      <c r="K110" t="s">
        <v>290</v>
      </c>
      <c r="L110">
        <v>3</v>
      </c>
      <c r="M110">
        <v>9</v>
      </c>
      <c r="N110" t="s">
        <v>272</v>
      </c>
      <c r="O110" t="s">
        <v>75</v>
      </c>
      <c r="P110" t="s">
        <v>273</v>
      </c>
      <c r="Q110" t="s">
        <v>101</v>
      </c>
      <c r="R110" t="s">
        <v>274</v>
      </c>
      <c r="S110" t="s">
        <v>111</v>
      </c>
      <c r="T110" t="s">
        <v>274</v>
      </c>
      <c r="U110" t="s">
        <v>80</v>
      </c>
      <c r="V110" t="s">
        <v>274</v>
      </c>
      <c r="W110" t="s">
        <v>111</v>
      </c>
      <c r="X110" t="s">
        <v>313</v>
      </c>
      <c r="Y110">
        <v>7</v>
      </c>
      <c r="Z110">
        <v>8</v>
      </c>
      <c r="AA110" t="s">
        <v>266</v>
      </c>
      <c r="AB110" t="s">
        <v>275</v>
      </c>
      <c r="AC110">
        <v>9.5</v>
      </c>
      <c r="AD110">
        <v>4</v>
      </c>
      <c r="AE110">
        <v>2</v>
      </c>
      <c r="AF110">
        <v>4</v>
      </c>
      <c r="AG110">
        <v>3</v>
      </c>
      <c r="AH110">
        <v>3</v>
      </c>
      <c r="AI110" t="s">
        <v>111</v>
      </c>
      <c r="AJ110" t="s">
        <v>274</v>
      </c>
      <c r="AK110">
        <v>28</v>
      </c>
      <c r="AL110">
        <v>72</v>
      </c>
      <c r="AM110" t="s">
        <v>85</v>
      </c>
      <c r="AN110" t="s">
        <v>274</v>
      </c>
      <c r="AO110" t="s">
        <v>111</v>
      </c>
      <c r="AP110" t="s">
        <v>274</v>
      </c>
      <c r="AQ110">
        <v>7</v>
      </c>
      <c r="AR110">
        <v>7</v>
      </c>
      <c r="AS110">
        <v>7</v>
      </c>
      <c r="AT110" t="s">
        <v>266</v>
      </c>
      <c r="AU110">
        <v>42</v>
      </c>
      <c r="AV110" t="s">
        <v>274</v>
      </c>
      <c r="AW110" t="s">
        <v>274</v>
      </c>
      <c r="AX110">
        <v>3</v>
      </c>
      <c r="AY110" t="s">
        <v>274</v>
      </c>
      <c r="AZ110" t="s">
        <v>274</v>
      </c>
      <c r="BA110">
        <v>3</v>
      </c>
      <c r="BB110">
        <v>3</v>
      </c>
      <c r="BC110" t="s">
        <v>274</v>
      </c>
      <c r="BD110">
        <v>3</v>
      </c>
      <c r="BE110">
        <v>6</v>
      </c>
      <c r="BF110">
        <v>28</v>
      </c>
      <c r="BG110" t="s">
        <v>86</v>
      </c>
      <c r="BH110" t="s">
        <v>281</v>
      </c>
      <c r="BI110">
        <v>3</v>
      </c>
      <c r="BJ110">
        <v>3.6</v>
      </c>
      <c r="BK110">
        <v>7.2</v>
      </c>
      <c r="BL110">
        <v>3.8</v>
      </c>
    </row>
    <row r="111" spans="1:64" x14ac:dyDescent="0.25">
      <c r="A111" t="s">
        <v>365</v>
      </c>
      <c r="B111">
        <v>25</v>
      </c>
      <c r="C111" t="s">
        <v>154</v>
      </c>
      <c r="D111" t="s">
        <v>66</v>
      </c>
      <c r="E111" t="s">
        <v>97</v>
      </c>
      <c r="F111" t="s">
        <v>98</v>
      </c>
      <c r="G111" t="s">
        <v>99</v>
      </c>
      <c r="H111" t="s">
        <v>124</v>
      </c>
      <c r="I111" t="s">
        <v>166</v>
      </c>
      <c r="J111" t="s">
        <v>193</v>
      </c>
      <c r="K111" t="s">
        <v>73</v>
      </c>
      <c r="L111">
        <v>5</v>
      </c>
      <c r="M111">
        <v>4</v>
      </c>
      <c r="N111" t="s">
        <v>74</v>
      </c>
      <c r="O111" t="s">
        <v>93</v>
      </c>
      <c r="P111" t="s">
        <v>100</v>
      </c>
      <c r="Q111" t="s">
        <v>101</v>
      </c>
      <c r="R111" t="s">
        <v>102</v>
      </c>
      <c r="S111" t="s">
        <v>102</v>
      </c>
      <c r="T111" t="s">
        <v>111</v>
      </c>
      <c r="U111" t="s">
        <v>80</v>
      </c>
      <c r="V111" t="s">
        <v>80</v>
      </c>
      <c r="W111" t="s">
        <v>102</v>
      </c>
      <c r="X111" t="s">
        <v>366</v>
      </c>
      <c r="Y111">
        <v>9</v>
      </c>
      <c r="Z111">
        <v>7</v>
      </c>
      <c r="AA111" t="s">
        <v>126</v>
      </c>
      <c r="AB111" t="s">
        <v>103</v>
      </c>
      <c r="AC111">
        <v>7</v>
      </c>
      <c r="AD111">
        <v>6</v>
      </c>
      <c r="AE111">
        <v>3</v>
      </c>
      <c r="AF111">
        <v>6</v>
      </c>
      <c r="AG111">
        <v>6</v>
      </c>
      <c r="AH111">
        <v>5</v>
      </c>
      <c r="AI111" t="s">
        <v>80</v>
      </c>
      <c r="AJ111" t="s">
        <v>111</v>
      </c>
      <c r="AK111">
        <v>16</v>
      </c>
      <c r="AL111">
        <v>38</v>
      </c>
      <c r="AM111" t="s">
        <v>131</v>
      </c>
      <c r="AN111" t="s">
        <v>111</v>
      </c>
      <c r="AO111" t="s">
        <v>80</v>
      </c>
      <c r="AP111" t="s">
        <v>111</v>
      </c>
      <c r="AQ111">
        <v>5</v>
      </c>
      <c r="AR111">
        <v>4</v>
      </c>
      <c r="AS111">
        <v>5</v>
      </c>
      <c r="AT111" t="s">
        <v>131</v>
      </c>
      <c r="AU111">
        <v>20</v>
      </c>
      <c r="AV111" t="s">
        <v>80</v>
      </c>
      <c r="AW111" t="s">
        <v>80</v>
      </c>
      <c r="AX111">
        <v>5</v>
      </c>
      <c r="AY111" t="s">
        <v>102</v>
      </c>
      <c r="AZ111" t="s">
        <v>80</v>
      </c>
      <c r="BA111">
        <v>6</v>
      </c>
      <c r="BB111">
        <v>5</v>
      </c>
      <c r="BC111" t="s">
        <v>111</v>
      </c>
      <c r="BD111">
        <v>6</v>
      </c>
      <c r="BE111">
        <v>4</v>
      </c>
      <c r="BF111">
        <v>10</v>
      </c>
      <c r="BG111" t="s">
        <v>152</v>
      </c>
      <c r="BH111" t="s">
        <v>131</v>
      </c>
      <c r="BI111">
        <v>5.8</v>
      </c>
      <c r="BJ111">
        <v>6.4</v>
      </c>
      <c r="BK111">
        <v>4.5999999999999996</v>
      </c>
      <c r="BL111">
        <v>6.8</v>
      </c>
    </row>
    <row r="112" spans="1:64" x14ac:dyDescent="0.25">
      <c r="A112" t="s">
        <v>367</v>
      </c>
      <c r="B112">
        <v>29</v>
      </c>
      <c r="C112" t="s">
        <v>278</v>
      </c>
      <c r="D112" t="s">
        <v>89</v>
      </c>
      <c r="E112" t="s">
        <v>107</v>
      </c>
      <c r="F112" t="s">
        <v>141</v>
      </c>
      <c r="G112" t="s">
        <v>142</v>
      </c>
      <c r="H112" t="s">
        <v>279</v>
      </c>
      <c r="I112" t="s">
        <v>166</v>
      </c>
      <c r="J112" t="s">
        <v>289</v>
      </c>
      <c r="K112" t="s">
        <v>143</v>
      </c>
      <c r="L112">
        <v>2.5</v>
      </c>
      <c r="M112">
        <v>8</v>
      </c>
      <c r="N112" t="s">
        <v>75</v>
      </c>
      <c r="O112" t="s">
        <v>272</v>
      </c>
      <c r="P112" t="s">
        <v>273</v>
      </c>
      <c r="Q112" t="s">
        <v>295</v>
      </c>
      <c r="R112" t="s">
        <v>274</v>
      </c>
      <c r="S112" t="s">
        <v>274</v>
      </c>
      <c r="T112" t="s">
        <v>274</v>
      </c>
      <c r="U112" t="s">
        <v>286</v>
      </c>
      <c r="V112" t="s">
        <v>274</v>
      </c>
      <c r="W112" t="s">
        <v>274</v>
      </c>
      <c r="X112" t="s">
        <v>368</v>
      </c>
      <c r="Y112">
        <v>6.5</v>
      </c>
      <c r="Z112">
        <v>8</v>
      </c>
      <c r="AA112" t="s">
        <v>266</v>
      </c>
      <c r="AB112" t="s">
        <v>78</v>
      </c>
      <c r="AC112">
        <v>9.5</v>
      </c>
      <c r="AD112">
        <v>3</v>
      </c>
      <c r="AE112">
        <v>2</v>
      </c>
      <c r="AF112">
        <v>3</v>
      </c>
      <c r="AG112">
        <v>2</v>
      </c>
      <c r="AH112">
        <v>2</v>
      </c>
      <c r="AI112" t="s">
        <v>274</v>
      </c>
      <c r="AJ112" t="s">
        <v>274</v>
      </c>
      <c r="AK112">
        <v>38</v>
      </c>
      <c r="AL112">
        <v>95</v>
      </c>
      <c r="AM112" t="s">
        <v>85</v>
      </c>
      <c r="AN112" t="s">
        <v>274</v>
      </c>
      <c r="AO112" t="s">
        <v>274</v>
      </c>
      <c r="AP112" t="s">
        <v>274</v>
      </c>
      <c r="AQ112">
        <v>9</v>
      </c>
      <c r="AR112">
        <v>8</v>
      </c>
      <c r="AS112">
        <v>9</v>
      </c>
      <c r="AT112" t="s">
        <v>266</v>
      </c>
      <c r="AU112">
        <v>55</v>
      </c>
      <c r="AV112" t="s">
        <v>274</v>
      </c>
      <c r="AW112" t="s">
        <v>274</v>
      </c>
      <c r="AX112">
        <v>2</v>
      </c>
      <c r="AY112" t="s">
        <v>83</v>
      </c>
      <c r="AZ112" t="s">
        <v>274</v>
      </c>
      <c r="BA112">
        <v>2</v>
      </c>
      <c r="BB112">
        <v>2</v>
      </c>
      <c r="BC112" t="s">
        <v>274</v>
      </c>
      <c r="BD112">
        <v>2</v>
      </c>
      <c r="BE112">
        <v>8</v>
      </c>
      <c r="BF112">
        <v>42</v>
      </c>
      <c r="BG112" t="s">
        <v>306</v>
      </c>
      <c r="BH112" t="s">
        <v>281</v>
      </c>
      <c r="BI112">
        <v>1.8</v>
      </c>
      <c r="BJ112">
        <v>2.4</v>
      </c>
      <c r="BK112">
        <v>8.8000000000000007</v>
      </c>
      <c r="BL112">
        <v>2.2000000000000002</v>
      </c>
    </row>
    <row r="113" spans="1:64" x14ac:dyDescent="0.25">
      <c r="A113" t="s">
        <v>369</v>
      </c>
      <c r="B113">
        <v>33</v>
      </c>
      <c r="C113" t="s">
        <v>278</v>
      </c>
      <c r="D113" t="s">
        <v>66</v>
      </c>
      <c r="E113" t="s">
        <v>90</v>
      </c>
      <c r="F113" t="s">
        <v>157</v>
      </c>
      <c r="G113" t="s">
        <v>158</v>
      </c>
      <c r="H113" t="s">
        <v>279</v>
      </c>
      <c r="I113" t="s">
        <v>166</v>
      </c>
      <c r="J113" t="s">
        <v>303</v>
      </c>
      <c r="K113" t="s">
        <v>290</v>
      </c>
      <c r="L113">
        <v>4</v>
      </c>
      <c r="M113">
        <v>8</v>
      </c>
      <c r="N113" t="s">
        <v>74</v>
      </c>
      <c r="O113" t="s">
        <v>93</v>
      </c>
      <c r="P113" t="s">
        <v>100</v>
      </c>
      <c r="Q113" t="s">
        <v>101</v>
      </c>
      <c r="R113" t="s">
        <v>111</v>
      </c>
      <c r="S113" t="s">
        <v>111</v>
      </c>
      <c r="T113" t="s">
        <v>111</v>
      </c>
      <c r="U113" t="s">
        <v>80</v>
      </c>
      <c r="V113" t="s">
        <v>111</v>
      </c>
      <c r="W113" t="s">
        <v>111</v>
      </c>
      <c r="X113" t="s">
        <v>370</v>
      </c>
      <c r="Y113">
        <v>8</v>
      </c>
      <c r="Z113">
        <v>7.5</v>
      </c>
      <c r="AA113" t="s">
        <v>266</v>
      </c>
      <c r="AB113" t="s">
        <v>103</v>
      </c>
      <c r="AC113">
        <v>8.5</v>
      </c>
      <c r="AD113">
        <v>5</v>
      </c>
      <c r="AE113">
        <v>3</v>
      </c>
      <c r="AF113">
        <v>5</v>
      </c>
      <c r="AG113">
        <v>5</v>
      </c>
      <c r="AH113">
        <v>4</v>
      </c>
      <c r="AI113" t="s">
        <v>111</v>
      </c>
      <c r="AJ113" t="s">
        <v>111</v>
      </c>
      <c r="AK113">
        <v>22</v>
      </c>
      <c r="AL113">
        <v>55</v>
      </c>
      <c r="AM113" t="s">
        <v>131</v>
      </c>
      <c r="AN113" t="s">
        <v>111</v>
      </c>
      <c r="AO113" t="s">
        <v>111</v>
      </c>
      <c r="AP113" t="s">
        <v>274</v>
      </c>
      <c r="AQ113">
        <v>5</v>
      </c>
      <c r="AR113">
        <v>5</v>
      </c>
      <c r="AS113">
        <v>5</v>
      </c>
      <c r="AT113" t="s">
        <v>131</v>
      </c>
      <c r="AU113">
        <v>28</v>
      </c>
      <c r="AV113" t="s">
        <v>111</v>
      </c>
      <c r="AW113" t="s">
        <v>111</v>
      </c>
      <c r="AX113">
        <v>4</v>
      </c>
      <c r="AY113" t="s">
        <v>111</v>
      </c>
      <c r="AZ113" t="s">
        <v>111</v>
      </c>
      <c r="BA113">
        <v>4</v>
      </c>
      <c r="BB113">
        <v>4</v>
      </c>
      <c r="BC113" t="s">
        <v>111</v>
      </c>
      <c r="BD113">
        <v>4</v>
      </c>
      <c r="BE113">
        <v>5</v>
      </c>
      <c r="BF113">
        <v>20</v>
      </c>
      <c r="BG113" t="s">
        <v>152</v>
      </c>
      <c r="BH113" t="s">
        <v>171</v>
      </c>
      <c r="BI113">
        <v>4.8</v>
      </c>
      <c r="BJ113">
        <v>5.4</v>
      </c>
      <c r="BK113">
        <v>5.4</v>
      </c>
      <c r="BL113">
        <v>5.8</v>
      </c>
    </row>
    <row r="114" spans="1:64" x14ac:dyDescent="0.25">
      <c r="A114" t="s">
        <v>371</v>
      </c>
      <c r="B114">
        <v>26</v>
      </c>
      <c r="C114" t="s">
        <v>154</v>
      </c>
      <c r="D114" t="s">
        <v>89</v>
      </c>
      <c r="E114" t="s">
        <v>114</v>
      </c>
      <c r="F114" t="s">
        <v>173</v>
      </c>
      <c r="G114" t="s">
        <v>174</v>
      </c>
      <c r="H114" t="s">
        <v>124</v>
      </c>
      <c r="I114" t="s">
        <v>166</v>
      </c>
      <c r="J114" t="s">
        <v>250</v>
      </c>
      <c r="K114" t="s">
        <v>73</v>
      </c>
      <c r="L114">
        <v>4.5</v>
      </c>
      <c r="M114">
        <v>5</v>
      </c>
      <c r="N114" t="s">
        <v>74</v>
      </c>
      <c r="O114" t="s">
        <v>75</v>
      </c>
      <c r="P114" t="s">
        <v>100</v>
      </c>
      <c r="Q114" t="s">
        <v>101</v>
      </c>
      <c r="R114" t="s">
        <v>111</v>
      </c>
      <c r="S114" t="s">
        <v>102</v>
      </c>
      <c r="T114" t="s">
        <v>111</v>
      </c>
      <c r="U114" t="s">
        <v>80</v>
      </c>
      <c r="V114" t="s">
        <v>111</v>
      </c>
      <c r="W114" t="s">
        <v>102</v>
      </c>
      <c r="X114" t="s">
        <v>372</v>
      </c>
      <c r="Y114">
        <v>8.5</v>
      </c>
      <c r="Z114">
        <v>7</v>
      </c>
      <c r="AA114" t="s">
        <v>126</v>
      </c>
      <c r="AB114" t="s">
        <v>103</v>
      </c>
      <c r="AC114">
        <v>7.5</v>
      </c>
      <c r="AD114">
        <v>6</v>
      </c>
      <c r="AE114">
        <v>3</v>
      </c>
      <c r="AF114">
        <v>5</v>
      </c>
      <c r="AG114">
        <v>5</v>
      </c>
      <c r="AH114">
        <v>4</v>
      </c>
      <c r="AI114" t="s">
        <v>111</v>
      </c>
      <c r="AJ114" t="s">
        <v>111</v>
      </c>
      <c r="AK114">
        <v>20</v>
      </c>
      <c r="AL114">
        <v>48</v>
      </c>
      <c r="AM114" t="s">
        <v>131</v>
      </c>
      <c r="AN114" t="s">
        <v>111</v>
      </c>
      <c r="AO114" t="s">
        <v>111</v>
      </c>
      <c r="AP114" t="s">
        <v>111</v>
      </c>
      <c r="AQ114">
        <v>5</v>
      </c>
      <c r="AR114">
        <v>5</v>
      </c>
      <c r="AS114">
        <v>5</v>
      </c>
      <c r="AT114" t="s">
        <v>131</v>
      </c>
      <c r="AU114">
        <v>24</v>
      </c>
      <c r="AV114" t="s">
        <v>80</v>
      </c>
      <c r="AW114" t="s">
        <v>111</v>
      </c>
      <c r="AX114">
        <v>5</v>
      </c>
      <c r="AY114" t="s">
        <v>102</v>
      </c>
      <c r="AZ114" t="s">
        <v>111</v>
      </c>
      <c r="BA114">
        <v>5</v>
      </c>
      <c r="BB114">
        <v>5</v>
      </c>
      <c r="BC114" t="s">
        <v>111</v>
      </c>
      <c r="BD114">
        <v>5</v>
      </c>
      <c r="BE114">
        <v>4</v>
      </c>
      <c r="BF114">
        <v>12</v>
      </c>
      <c r="BG114" t="s">
        <v>117</v>
      </c>
      <c r="BH114" t="s">
        <v>171</v>
      </c>
      <c r="BI114">
        <v>5.2</v>
      </c>
      <c r="BJ114">
        <v>5.8</v>
      </c>
      <c r="BK114">
        <v>5</v>
      </c>
      <c r="BL114">
        <v>6.2</v>
      </c>
    </row>
    <row r="115" spans="1:64" x14ac:dyDescent="0.25">
      <c r="A115" t="s">
        <v>373</v>
      </c>
      <c r="B115">
        <v>28</v>
      </c>
      <c r="C115" t="s">
        <v>278</v>
      </c>
      <c r="D115" t="s">
        <v>66</v>
      </c>
      <c r="E115" t="s">
        <v>67</v>
      </c>
      <c r="F115" t="s">
        <v>119</v>
      </c>
      <c r="G115" t="s">
        <v>120</v>
      </c>
      <c r="H115" t="s">
        <v>279</v>
      </c>
      <c r="I115" t="s">
        <v>166</v>
      </c>
      <c r="J115" t="s">
        <v>285</v>
      </c>
      <c r="K115" t="s">
        <v>290</v>
      </c>
      <c r="L115">
        <v>3.5</v>
      </c>
      <c r="M115">
        <v>7</v>
      </c>
      <c r="N115" t="s">
        <v>74</v>
      </c>
      <c r="O115" t="s">
        <v>75</v>
      </c>
      <c r="P115" t="s">
        <v>273</v>
      </c>
      <c r="Q115" t="s">
        <v>101</v>
      </c>
      <c r="R115" t="s">
        <v>111</v>
      </c>
      <c r="S115" t="s">
        <v>274</v>
      </c>
      <c r="T115" t="s">
        <v>274</v>
      </c>
      <c r="U115" t="s">
        <v>80</v>
      </c>
      <c r="V115" t="s">
        <v>274</v>
      </c>
      <c r="W115" t="s">
        <v>274</v>
      </c>
      <c r="X115" t="s">
        <v>374</v>
      </c>
      <c r="Y115">
        <v>7.5</v>
      </c>
      <c r="Z115">
        <v>7.5</v>
      </c>
      <c r="AA115" t="s">
        <v>266</v>
      </c>
      <c r="AB115" t="s">
        <v>275</v>
      </c>
      <c r="AC115">
        <v>8.5</v>
      </c>
      <c r="AD115">
        <v>4</v>
      </c>
      <c r="AE115">
        <v>2</v>
      </c>
      <c r="AF115">
        <v>4</v>
      </c>
      <c r="AG115">
        <v>4</v>
      </c>
      <c r="AH115">
        <v>3</v>
      </c>
      <c r="AI115" t="s">
        <v>111</v>
      </c>
      <c r="AJ115" t="s">
        <v>274</v>
      </c>
      <c r="AK115">
        <v>26</v>
      </c>
      <c r="AL115">
        <v>65</v>
      </c>
      <c r="AM115" t="s">
        <v>85</v>
      </c>
      <c r="AN115" t="s">
        <v>274</v>
      </c>
      <c r="AO115" t="s">
        <v>111</v>
      </c>
      <c r="AP115" t="s">
        <v>274</v>
      </c>
      <c r="AQ115">
        <v>7</v>
      </c>
      <c r="AR115">
        <v>6</v>
      </c>
      <c r="AS115">
        <v>7</v>
      </c>
      <c r="AT115" t="s">
        <v>266</v>
      </c>
      <c r="AU115">
        <v>38</v>
      </c>
      <c r="AV115" t="s">
        <v>274</v>
      </c>
      <c r="AW115" t="s">
        <v>274</v>
      </c>
      <c r="AX115">
        <v>3</v>
      </c>
      <c r="AY115" t="s">
        <v>274</v>
      </c>
      <c r="AZ115" t="s">
        <v>274</v>
      </c>
      <c r="BA115">
        <v>3</v>
      </c>
      <c r="BB115">
        <v>3</v>
      </c>
      <c r="BC115" t="s">
        <v>274</v>
      </c>
      <c r="BD115">
        <v>3</v>
      </c>
      <c r="BE115">
        <v>6</v>
      </c>
      <c r="BF115">
        <v>25</v>
      </c>
      <c r="BG115" t="s">
        <v>86</v>
      </c>
      <c r="BH115" t="s">
        <v>281</v>
      </c>
      <c r="BI115">
        <v>3.2</v>
      </c>
      <c r="BJ115">
        <v>3.8</v>
      </c>
      <c r="BK115">
        <v>7</v>
      </c>
      <c r="BL115">
        <v>4</v>
      </c>
    </row>
    <row r="116" spans="1:64" x14ac:dyDescent="0.25">
      <c r="A116" t="s">
        <v>375</v>
      </c>
      <c r="B116">
        <v>35</v>
      </c>
      <c r="C116" t="s">
        <v>278</v>
      </c>
      <c r="D116" t="s">
        <v>89</v>
      </c>
      <c r="E116" t="s">
        <v>97</v>
      </c>
      <c r="F116" t="s">
        <v>163</v>
      </c>
      <c r="G116" t="s">
        <v>164</v>
      </c>
      <c r="H116" t="s">
        <v>279</v>
      </c>
      <c r="I116" t="s">
        <v>166</v>
      </c>
      <c r="J116" t="s">
        <v>242</v>
      </c>
      <c r="K116" t="s">
        <v>290</v>
      </c>
      <c r="L116">
        <v>2.5</v>
      </c>
      <c r="M116">
        <v>9</v>
      </c>
      <c r="N116" t="s">
        <v>272</v>
      </c>
      <c r="O116" t="s">
        <v>74</v>
      </c>
      <c r="P116" t="s">
        <v>273</v>
      </c>
      <c r="Q116" t="s">
        <v>295</v>
      </c>
      <c r="R116" t="s">
        <v>274</v>
      </c>
      <c r="S116" t="s">
        <v>274</v>
      </c>
      <c r="T116" t="s">
        <v>274</v>
      </c>
      <c r="U116" t="s">
        <v>286</v>
      </c>
      <c r="V116" t="s">
        <v>274</v>
      </c>
      <c r="W116" t="s">
        <v>274</v>
      </c>
      <c r="X116" t="s">
        <v>358</v>
      </c>
      <c r="Y116">
        <v>6.5</v>
      </c>
      <c r="Z116">
        <v>8</v>
      </c>
      <c r="AA116" t="s">
        <v>266</v>
      </c>
      <c r="AB116" t="s">
        <v>78</v>
      </c>
      <c r="AC116">
        <v>9.5</v>
      </c>
      <c r="AD116">
        <v>3</v>
      </c>
      <c r="AE116">
        <v>2</v>
      </c>
      <c r="AF116">
        <v>3</v>
      </c>
      <c r="AG116">
        <v>2</v>
      </c>
      <c r="AH116">
        <v>2</v>
      </c>
      <c r="AI116" t="s">
        <v>274</v>
      </c>
      <c r="AJ116" t="s">
        <v>274</v>
      </c>
      <c r="AK116">
        <v>38</v>
      </c>
      <c r="AL116">
        <v>96</v>
      </c>
      <c r="AM116" t="s">
        <v>85</v>
      </c>
      <c r="AN116" t="s">
        <v>274</v>
      </c>
      <c r="AO116" t="s">
        <v>274</v>
      </c>
      <c r="AP116" t="s">
        <v>274</v>
      </c>
      <c r="AQ116">
        <v>9</v>
      </c>
      <c r="AR116">
        <v>8</v>
      </c>
      <c r="AS116">
        <v>9</v>
      </c>
      <c r="AT116" t="s">
        <v>266</v>
      </c>
      <c r="AU116">
        <v>55</v>
      </c>
      <c r="AV116" t="s">
        <v>274</v>
      </c>
      <c r="AW116" t="s">
        <v>274</v>
      </c>
      <c r="AX116">
        <v>2</v>
      </c>
      <c r="AY116" t="s">
        <v>83</v>
      </c>
      <c r="AZ116" t="s">
        <v>274</v>
      </c>
      <c r="BA116">
        <v>2</v>
      </c>
      <c r="BB116">
        <v>2</v>
      </c>
      <c r="BC116" t="s">
        <v>274</v>
      </c>
      <c r="BD116">
        <v>2</v>
      </c>
      <c r="BE116">
        <v>8</v>
      </c>
      <c r="BF116">
        <v>45</v>
      </c>
      <c r="BG116" t="s">
        <v>306</v>
      </c>
      <c r="BH116" t="s">
        <v>281</v>
      </c>
      <c r="BI116">
        <v>1.8</v>
      </c>
      <c r="BJ116">
        <v>2.4</v>
      </c>
      <c r="BK116">
        <v>8.8000000000000007</v>
      </c>
      <c r="BL116">
        <v>2.2000000000000002</v>
      </c>
    </row>
    <row r="117" spans="1:64" x14ac:dyDescent="0.25">
      <c r="A117" t="s">
        <v>376</v>
      </c>
      <c r="B117">
        <v>27</v>
      </c>
      <c r="C117" t="s">
        <v>154</v>
      </c>
      <c r="D117" t="s">
        <v>66</v>
      </c>
      <c r="E117" t="s">
        <v>149</v>
      </c>
      <c r="F117" t="s">
        <v>269</v>
      </c>
      <c r="G117" t="s">
        <v>270</v>
      </c>
      <c r="H117" t="s">
        <v>124</v>
      </c>
      <c r="I117" t="s">
        <v>166</v>
      </c>
      <c r="J117" t="s">
        <v>72</v>
      </c>
      <c r="K117" t="s">
        <v>73</v>
      </c>
      <c r="L117">
        <v>4.5</v>
      </c>
      <c r="M117">
        <v>5</v>
      </c>
      <c r="N117" t="s">
        <v>74</v>
      </c>
      <c r="O117" t="s">
        <v>135</v>
      </c>
      <c r="P117" t="s">
        <v>100</v>
      </c>
      <c r="Q117" t="s">
        <v>101</v>
      </c>
      <c r="R117" t="s">
        <v>111</v>
      </c>
      <c r="S117" t="s">
        <v>111</v>
      </c>
      <c r="T117" t="s">
        <v>111</v>
      </c>
      <c r="U117" t="s">
        <v>80</v>
      </c>
      <c r="V117" t="s">
        <v>111</v>
      </c>
      <c r="W117" t="s">
        <v>111</v>
      </c>
      <c r="X117" t="s">
        <v>327</v>
      </c>
      <c r="Y117">
        <v>8.5</v>
      </c>
      <c r="Z117">
        <v>7</v>
      </c>
      <c r="AA117" t="s">
        <v>126</v>
      </c>
      <c r="AB117" t="s">
        <v>103</v>
      </c>
      <c r="AC117">
        <v>7.5</v>
      </c>
      <c r="AD117">
        <v>5</v>
      </c>
      <c r="AE117">
        <v>3</v>
      </c>
      <c r="AF117">
        <v>5</v>
      </c>
      <c r="AG117">
        <v>5</v>
      </c>
      <c r="AH117">
        <v>4</v>
      </c>
      <c r="AI117" t="s">
        <v>111</v>
      </c>
      <c r="AJ117" t="s">
        <v>111</v>
      </c>
      <c r="AK117">
        <v>20</v>
      </c>
      <c r="AL117">
        <v>50</v>
      </c>
      <c r="AM117" t="s">
        <v>131</v>
      </c>
      <c r="AN117" t="s">
        <v>111</v>
      </c>
      <c r="AO117" t="s">
        <v>111</v>
      </c>
      <c r="AP117" t="s">
        <v>111</v>
      </c>
      <c r="AQ117">
        <v>5</v>
      </c>
      <c r="AR117">
        <v>5</v>
      </c>
      <c r="AS117">
        <v>5</v>
      </c>
      <c r="AT117" t="s">
        <v>131</v>
      </c>
      <c r="AU117">
        <v>24</v>
      </c>
      <c r="AV117" t="s">
        <v>80</v>
      </c>
      <c r="AW117" t="s">
        <v>111</v>
      </c>
      <c r="AX117">
        <v>5</v>
      </c>
      <c r="AY117" t="s">
        <v>111</v>
      </c>
      <c r="AZ117" t="s">
        <v>111</v>
      </c>
      <c r="BA117">
        <v>5</v>
      </c>
      <c r="BB117">
        <v>5</v>
      </c>
      <c r="BC117" t="s">
        <v>111</v>
      </c>
      <c r="BD117">
        <v>5</v>
      </c>
      <c r="BE117">
        <v>4</v>
      </c>
      <c r="BF117">
        <v>14</v>
      </c>
      <c r="BG117" t="s">
        <v>152</v>
      </c>
      <c r="BH117" t="s">
        <v>171</v>
      </c>
      <c r="BI117">
        <v>5</v>
      </c>
      <c r="BJ117">
        <v>5.6</v>
      </c>
      <c r="BK117">
        <v>5.0999999999999996</v>
      </c>
      <c r="BL117">
        <v>6</v>
      </c>
    </row>
    <row r="118" spans="1:64" x14ac:dyDescent="0.25">
      <c r="A118" t="s">
        <v>377</v>
      </c>
      <c r="B118">
        <v>32</v>
      </c>
      <c r="C118" t="s">
        <v>278</v>
      </c>
      <c r="D118" t="s">
        <v>89</v>
      </c>
      <c r="E118" t="s">
        <v>107</v>
      </c>
      <c r="F118" t="s">
        <v>204</v>
      </c>
      <c r="G118" t="s">
        <v>205</v>
      </c>
      <c r="H118" t="s">
        <v>279</v>
      </c>
      <c r="I118" t="s">
        <v>166</v>
      </c>
      <c r="J118" t="s">
        <v>167</v>
      </c>
      <c r="K118" t="s">
        <v>290</v>
      </c>
      <c r="L118">
        <v>2</v>
      </c>
      <c r="M118">
        <v>9</v>
      </c>
      <c r="N118" t="s">
        <v>272</v>
      </c>
      <c r="O118" t="s">
        <v>130</v>
      </c>
      <c r="P118" t="s">
        <v>273</v>
      </c>
      <c r="Q118" t="s">
        <v>295</v>
      </c>
      <c r="R118" t="s">
        <v>274</v>
      </c>
      <c r="S118" t="s">
        <v>274</v>
      </c>
      <c r="T118" t="s">
        <v>274</v>
      </c>
      <c r="U118" t="s">
        <v>286</v>
      </c>
      <c r="V118" t="s">
        <v>274</v>
      </c>
      <c r="W118" t="s">
        <v>274</v>
      </c>
      <c r="X118" t="s">
        <v>313</v>
      </c>
      <c r="Y118">
        <v>6</v>
      </c>
      <c r="Z118">
        <v>8.5</v>
      </c>
      <c r="AA118" t="s">
        <v>266</v>
      </c>
      <c r="AB118" t="s">
        <v>78</v>
      </c>
      <c r="AC118">
        <v>9.5</v>
      </c>
      <c r="AD118">
        <v>3</v>
      </c>
      <c r="AE118">
        <v>1</v>
      </c>
      <c r="AF118">
        <v>3</v>
      </c>
      <c r="AG118">
        <v>2</v>
      </c>
      <c r="AH118">
        <v>2</v>
      </c>
      <c r="AI118" t="s">
        <v>274</v>
      </c>
      <c r="AJ118" t="s">
        <v>274</v>
      </c>
      <c r="AK118">
        <v>40</v>
      </c>
      <c r="AL118">
        <v>100</v>
      </c>
      <c r="AM118" t="s">
        <v>85</v>
      </c>
      <c r="AN118" t="s">
        <v>274</v>
      </c>
      <c r="AO118" t="s">
        <v>274</v>
      </c>
      <c r="AP118" t="s">
        <v>274</v>
      </c>
      <c r="AQ118">
        <v>9</v>
      </c>
      <c r="AR118">
        <v>8</v>
      </c>
      <c r="AS118">
        <v>9</v>
      </c>
      <c r="AT118" t="s">
        <v>266</v>
      </c>
      <c r="AU118">
        <v>58</v>
      </c>
      <c r="AV118" t="s">
        <v>274</v>
      </c>
      <c r="AW118" t="s">
        <v>274</v>
      </c>
      <c r="AX118">
        <v>2</v>
      </c>
      <c r="AY118" t="s">
        <v>83</v>
      </c>
      <c r="AZ118" t="s">
        <v>274</v>
      </c>
      <c r="BA118">
        <v>2</v>
      </c>
      <c r="BB118">
        <v>2</v>
      </c>
      <c r="BC118" t="s">
        <v>274</v>
      </c>
      <c r="BD118">
        <v>2</v>
      </c>
      <c r="BE118">
        <v>8</v>
      </c>
      <c r="BF118">
        <v>48</v>
      </c>
      <c r="BG118" t="s">
        <v>306</v>
      </c>
      <c r="BH118" t="s">
        <v>281</v>
      </c>
      <c r="BI118">
        <v>1.5</v>
      </c>
      <c r="BJ118">
        <v>2</v>
      </c>
      <c r="BK118">
        <v>9.1999999999999993</v>
      </c>
      <c r="BL118">
        <v>2</v>
      </c>
    </row>
    <row r="119" spans="1:64" x14ac:dyDescent="0.25">
      <c r="A119" t="s">
        <v>378</v>
      </c>
      <c r="B119">
        <v>30</v>
      </c>
      <c r="C119" t="s">
        <v>278</v>
      </c>
      <c r="D119" t="s">
        <v>66</v>
      </c>
      <c r="E119" t="s">
        <v>90</v>
      </c>
      <c r="F119" t="s">
        <v>128</v>
      </c>
      <c r="G119" t="s">
        <v>129</v>
      </c>
      <c r="H119" t="s">
        <v>279</v>
      </c>
      <c r="I119" t="s">
        <v>166</v>
      </c>
      <c r="J119" t="s">
        <v>311</v>
      </c>
      <c r="K119" t="s">
        <v>143</v>
      </c>
      <c r="L119">
        <v>3</v>
      </c>
      <c r="M119">
        <v>8</v>
      </c>
      <c r="N119" t="s">
        <v>74</v>
      </c>
      <c r="O119" t="s">
        <v>130</v>
      </c>
      <c r="P119" t="s">
        <v>273</v>
      </c>
      <c r="Q119" t="s">
        <v>101</v>
      </c>
      <c r="R119" t="s">
        <v>274</v>
      </c>
      <c r="S119" t="s">
        <v>111</v>
      </c>
      <c r="T119" t="s">
        <v>274</v>
      </c>
      <c r="U119" t="s">
        <v>80</v>
      </c>
      <c r="V119" t="s">
        <v>274</v>
      </c>
      <c r="W119" t="s">
        <v>274</v>
      </c>
      <c r="X119" t="s">
        <v>345</v>
      </c>
      <c r="Y119">
        <v>7</v>
      </c>
      <c r="Z119">
        <v>8</v>
      </c>
      <c r="AA119" t="s">
        <v>266</v>
      </c>
      <c r="AB119" t="s">
        <v>275</v>
      </c>
      <c r="AC119">
        <v>9</v>
      </c>
      <c r="AD119">
        <v>4</v>
      </c>
      <c r="AE119">
        <v>2</v>
      </c>
      <c r="AF119">
        <v>4</v>
      </c>
      <c r="AG119">
        <v>3</v>
      </c>
      <c r="AH119">
        <v>3</v>
      </c>
      <c r="AI119" t="s">
        <v>111</v>
      </c>
      <c r="AJ119" t="s">
        <v>274</v>
      </c>
      <c r="AK119">
        <v>28</v>
      </c>
      <c r="AL119">
        <v>70</v>
      </c>
      <c r="AM119" t="s">
        <v>85</v>
      </c>
      <c r="AN119" t="s">
        <v>274</v>
      </c>
      <c r="AO119" t="s">
        <v>111</v>
      </c>
      <c r="AP119" t="s">
        <v>274</v>
      </c>
      <c r="AQ119">
        <v>7</v>
      </c>
      <c r="AR119">
        <v>6</v>
      </c>
      <c r="AS119">
        <v>7</v>
      </c>
      <c r="AT119" t="s">
        <v>266</v>
      </c>
      <c r="AU119">
        <v>40</v>
      </c>
      <c r="AV119" t="s">
        <v>274</v>
      </c>
      <c r="AW119" t="s">
        <v>274</v>
      </c>
      <c r="AX119">
        <v>3</v>
      </c>
      <c r="AY119" t="s">
        <v>274</v>
      </c>
      <c r="AZ119" t="s">
        <v>274</v>
      </c>
      <c r="BA119">
        <v>3</v>
      </c>
      <c r="BB119">
        <v>3</v>
      </c>
      <c r="BC119" t="s">
        <v>274</v>
      </c>
      <c r="BD119">
        <v>3</v>
      </c>
      <c r="BE119">
        <v>6</v>
      </c>
      <c r="BF119">
        <v>28</v>
      </c>
      <c r="BG119" t="s">
        <v>86</v>
      </c>
      <c r="BH119" t="s">
        <v>281</v>
      </c>
      <c r="BI119">
        <v>3</v>
      </c>
      <c r="BJ119">
        <v>3.6</v>
      </c>
      <c r="BK119">
        <v>7.2</v>
      </c>
      <c r="BL119">
        <v>3.8</v>
      </c>
    </row>
    <row r="120" spans="1:64" x14ac:dyDescent="0.25">
      <c r="A120" t="s">
        <v>379</v>
      </c>
      <c r="B120">
        <v>25</v>
      </c>
      <c r="C120" t="s">
        <v>154</v>
      </c>
      <c r="D120" t="s">
        <v>89</v>
      </c>
      <c r="E120" t="s">
        <v>67</v>
      </c>
      <c r="F120" t="s">
        <v>68</v>
      </c>
      <c r="G120" t="s">
        <v>69</v>
      </c>
      <c r="H120" t="s">
        <v>124</v>
      </c>
      <c r="I120" t="s">
        <v>166</v>
      </c>
      <c r="J120" t="s">
        <v>167</v>
      </c>
      <c r="K120" t="s">
        <v>73</v>
      </c>
      <c r="L120">
        <v>5.5</v>
      </c>
      <c r="M120">
        <v>6</v>
      </c>
      <c r="N120" t="s">
        <v>74</v>
      </c>
      <c r="O120" t="s">
        <v>75</v>
      </c>
      <c r="P120" t="s">
        <v>100</v>
      </c>
      <c r="Q120" t="s">
        <v>101</v>
      </c>
      <c r="R120" t="s">
        <v>102</v>
      </c>
      <c r="S120" t="s">
        <v>102</v>
      </c>
      <c r="T120" t="s">
        <v>111</v>
      </c>
      <c r="U120" t="s">
        <v>80</v>
      </c>
      <c r="V120" t="s">
        <v>80</v>
      </c>
      <c r="W120" t="s">
        <v>102</v>
      </c>
      <c r="X120" t="s">
        <v>355</v>
      </c>
      <c r="Y120">
        <v>9.5</v>
      </c>
      <c r="Z120">
        <v>7</v>
      </c>
      <c r="AA120" t="s">
        <v>126</v>
      </c>
      <c r="AB120" t="s">
        <v>103</v>
      </c>
      <c r="AC120">
        <v>8</v>
      </c>
      <c r="AD120">
        <v>7</v>
      </c>
      <c r="AE120">
        <v>3</v>
      </c>
      <c r="AF120">
        <v>6</v>
      </c>
      <c r="AG120">
        <v>5</v>
      </c>
      <c r="AH120">
        <v>5</v>
      </c>
      <c r="AI120" t="s">
        <v>80</v>
      </c>
      <c r="AJ120" t="s">
        <v>111</v>
      </c>
      <c r="AK120">
        <v>15</v>
      </c>
      <c r="AL120">
        <v>35</v>
      </c>
      <c r="AM120" t="s">
        <v>131</v>
      </c>
      <c r="AN120" t="s">
        <v>111</v>
      </c>
      <c r="AO120" t="s">
        <v>80</v>
      </c>
      <c r="AP120" t="s">
        <v>111</v>
      </c>
      <c r="AQ120">
        <v>5</v>
      </c>
      <c r="AR120">
        <v>4</v>
      </c>
      <c r="AS120">
        <v>5</v>
      </c>
      <c r="AT120" t="s">
        <v>131</v>
      </c>
      <c r="AU120">
        <v>20</v>
      </c>
      <c r="AV120" t="s">
        <v>80</v>
      </c>
      <c r="AW120" t="s">
        <v>80</v>
      </c>
      <c r="AX120">
        <v>5</v>
      </c>
      <c r="AY120" t="s">
        <v>102</v>
      </c>
      <c r="AZ120" t="s">
        <v>80</v>
      </c>
      <c r="BA120">
        <v>6</v>
      </c>
      <c r="BB120">
        <v>5</v>
      </c>
      <c r="BC120" t="s">
        <v>111</v>
      </c>
      <c r="BD120">
        <v>6</v>
      </c>
      <c r="BE120">
        <v>4</v>
      </c>
      <c r="BF120">
        <v>10</v>
      </c>
      <c r="BG120" t="s">
        <v>86</v>
      </c>
      <c r="BH120" t="s">
        <v>131</v>
      </c>
      <c r="BI120">
        <v>5.8</v>
      </c>
      <c r="BJ120">
        <v>6.4</v>
      </c>
      <c r="BK120">
        <v>4.5999999999999996</v>
      </c>
      <c r="BL120">
        <v>6.8</v>
      </c>
    </row>
    <row r="121" spans="1:64" x14ac:dyDescent="0.25">
      <c r="A121" t="s">
        <v>380</v>
      </c>
      <c r="B121">
        <v>34</v>
      </c>
      <c r="C121" t="s">
        <v>278</v>
      </c>
      <c r="D121" t="s">
        <v>66</v>
      </c>
      <c r="E121" t="s">
        <v>97</v>
      </c>
      <c r="F121" t="s">
        <v>201</v>
      </c>
      <c r="G121" t="s">
        <v>202</v>
      </c>
      <c r="H121" t="s">
        <v>124</v>
      </c>
      <c r="I121" t="s">
        <v>166</v>
      </c>
      <c r="J121" t="s">
        <v>315</v>
      </c>
      <c r="K121" t="s">
        <v>290</v>
      </c>
      <c r="L121">
        <v>3.5</v>
      </c>
      <c r="M121">
        <v>7</v>
      </c>
      <c r="N121" t="s">
        <v>135</v>
      </c>
      <c r="O121" t="s">
        <v>74</v>
      </c>
      <c r="P121" t="s">
        <v>273</v>
      </c>
      <c r="Q121" t="s">
        <v>101</v>
      </c>
      <c r="R121" t="s">
        <v>111</v>
      </c>
      <c r="S121" t="s">
        <v>111</v>
      </c>
      <c r="T121" t="s">
        <v>274</v>
      </c>
      <c r="U121" t="s">
        <v>80</v>
      </c>
      <c r="V121" t="s">
        <v>274</v>
      </c>
      <c r="W121" t="s">
        <v>274</v>
      </c>
      <c r="X121" t="s">
        <v>333</v>
      </c>
      <c r="Y121">
        <v>7.5</v>
      </c>
      <c r="Z121">
        <v>7.5</v>
      </c>
      <c r="AA121" t="s">
        <v>266</v>
      </c>
      <c r="AB121" t="s">
        <v>275</v>
      </c>
      <c r="AC121">
        <v>8.5</v>
      </c>
      <c r="AD121">
        <v>4</v>
      </c>
      <c r="AE121">
        <v>2</v>
      </c>
      <c r="AF121">
        <v>4</v>
      </c>
      <c r="AG121">
        <v>4</v>
      </c>
      <c r="AH121">
        <v>3</v>
      </c>
      <c r="AI121" t="s">
        <v>111</v>
      </c>
      <c r="AJ121" t="s">
        <v>274</v>
      </c>
      <c r="AK121">
        <v>26</v>
      </c>
      <c r="AL121">
        <v>65</v>
      </c>
      <c r="AM121" t="s">
        <v>85</v>
      </c>
      <c r="AN121" t="s">
        <v>274</v>
      </c>
      <c r="AO121" t="s">
        <v>111</v>
      </c>
      <c r="AP121" t="s">
        <v>274</v>
      </c>
      <c r="AQ121">
        <v>7</v>
      </c>
      <c r="AR121">
        <v>6</v>
      </c>
      <c r="AS121">
        <v>7</v>
      </c>
      <c r="AT121" t="s">
        <v>266</v>
      </c>
      <c r="AU121">
        <v>38</v>
      </c>
      <c r="AV121" t="s">
        <v>274</v>
      </c>
      <c r="AW121" t="s">
        <v>274</v>
      </c>
      <c r="AX121">
        <v>3</v>
      </c>
      <c r="AY121" t="s">
        <v>274</v>
      </c>
      <c r="AZ121" t="s">
        <v>274</v>
      </c>
      <c r="BA121">
        <v>3</v>
      </c>
      <c r="BB121">
        <v>3</v>
      </c>
      <c r="BC121" t="s">
        <v>274</v>
      </c>
      <c r="BD121">
        <v>3</v>
      </c>
      <c r="BE121">
        <v>6</v>
      </c>
      <c r="BF121">
        <v>24</v>
      </c>
      <c r="BG121" t="s">
        <v>86</v>
      </c>
      <c r="BH121" t="s">
        <v>281</v>
      </c>
      <c r="BI121">
        <v>3.2</v>
      </c>
      <c r="BJ121">
        <v>3.8</v>
      </c>
      <c r="BK121">
        <v>7</v>
      </c>
      <c r="BL121">
        <v>4</v>
      </c>
    </row>
    <row r="122" spans="1:64" x14ac:dyDescent="0.25">
      <c r="A122" t="s">
        <v>381</v>
      </c>
      <c r="B122">
        <v>38</v>
      </c>
      <c r="C122" t="s">
        <v>382</v>
      </c>
      <c r="D122" t="s">
        <v>89</v>
      </c>
      <c r="E122" t="s">
        <v>107</v>
      </c>
      <c r="F122" t="s">
        <v>108</v>
      </c>
      <c r="G122" t="s">
        <v>109</v>
      </c>
      <c r="H122" t="s">
        <v>279</v>
      </c>
      <c r="I122" t="s">
        <v>166</v>
      </c>
      <c r="J122" t="s">
        <v>167</v>
      </c>
      <c r="K122" t="s">
        <v>290</v>
      </c>
      <c r="L122">
        <v>2</v>
      </c>
      <c r="M122">
        <v>12</v>
      </c>
      <c r="N122" t="s">
        <v>272</v>
      </c>
      <c r="O122" t="s">
        <v>75</v>
      </c>
      <c r="P122" t="s">
        <v>273</v>
      </c>
      <c r="Q122" t="s">
        <v>295</v>
      </c>
      <c r="R122" t="s">
        <v>274</v>
      </c>
      <c r="S122" t="s">
        <v>274</v>
      </c>
      <c r="T122" t="s">
        <v>274</v>
      </c>
      <c r="U122" t="s">
        <v>286</v>
      </c>
      <c r="V122" t="s">
        <v>274</v>
      </c>
      <c r="W122" t="s">
        <v>274</v>
      </c>
      <c r="X122" t="s">
        <v>313</v>
      </c>
      <c r="Y122">
        <v>6</v>
      </c>
      <c r="Z122">
        <v>8.5</v>
      </c>
      <c r="AA122" t="s">
        <v>266</v>
      </c>
      <c r="AB122" t="s">
        <v>78</v>
      </c>
      <c r="AC122">
        <v>9.5</v>
      </c>
      <c r="AD122">
        <v>3</v>
      </c>
      <c r="AE122">
        <v>2</v>
      </c>
      <c r="AF122">
        <v>3</v>
      </c>
      <c r="AG122">
        <v>2</v>
      </c>
      <c r="AH122">
        <v>2</v>
      </c>
      <c r="AI122" t="s">
        <v>274</v>
      </c>
      <c r="AJ122" t="s">
        <v>274</v>
      </c>
      <c r="AK122">
        <v>40</v>
      </c>
      <c r="AL122">
        <v>100</v>
      </c>
      <c r="AM122" t="s">
        <v>85</v>
      </c>
      <c r="AN122" t="s">
        <v>274</v>
      </c>
      <c r="AO122" t="s">
        <v>274</v>
      </c>
      <c r="AP122" t="s">
        <v>274</v>
      </c>
      <c r="AQ122">
        <v>9</v>
      </c>
      <c r="AR122">
        <v>8</v>
      </c>
      <c r="AS122">
        <v>9</v>
      </c>
      <c r="AT122" t="s">
        <v>266</v>
      </c>
      <c r="AU122">
        <v>55</v>
      </c>
      <c r="AV122" t="s">
        <v>274</v>
      </c>
      <c r="AW122" t="s">
        <v>274</v>
      </c>
      <c r="AX122">
        <v>2</v>
      </c>
      <c r="AY122" t="s">
        <v>83</v>
      </c>
      <c r="AZ122" t="s">
        <v>274</v>
      </c>
      <c r="BA122">
        <v>2</v>
      </c>
      <c r="BB122">
        <v>2</v>
      </c>
      <c r="BC122" t="s">
        <v>274</v>
      </c>
      <c r="BD122">
        <v>2</v>
      </c>
      <c r="BE122">
        <v>8</v>
      </c>
      <c r="BF122">
        <v>48</v>
      </c>
      <c r="BG122" t="s">
        <v>306</v>
      </c>
      <c r="BH122" t="s">
        <v>281</v>
      </c>
      <c r="BI122">
        <v>1.8</v>
      </c>
      <c r="BJ122">
        <v>2.4</v>
      </c>
      <c r="BK122">
        <v>8.8000000000000007</v>
      </c>
      <c r="BL122">
        <v>2.2000000000000002</v>
      </c>
    </row>
    <row r="123" spans="1:64" x14ac:dyDescent="0.25">
      <c r="A123" t="s">
        <v>383</v>
      </c>
      <c r="B123">
        <v>42</v>
      </c>
      <c r="C123" t="s">
        <v>382</v>
      </c>
      <c r="D123" t="s">
        <v>66</v>
      </c>
      <c r="E123" t="s">
        <v>90</v>
      </c>
      <c r="F123" t="s">
        <v>91</v>
      </c>
      <c r="G123" t="s">
        <v>92</v>
      </c>
      <c r="H123" t="s">
        <v>279</v>
      </c>
      <c r="I123" t="s">
        <v>166</v>
      </c>
      <c r="J123" t="s">
        <v>285</v>
      </c>
      <c r="K123" t="s">
        <v>290</v>
      </c>
      <c r="L123">
        <v>2.5</v>
      </c>
      <c r="M123">
        <v>10</v>
      </c>
      <c r="N123" t="s">
        <v>168</v>
      </c>
      <c r="O123" t="s">
        <v>272</v>
      </c>
      <c r="P123" t="s">
        <v>273</v>
      </c>
      <c r="Q123" t="s">
        <v>295</v>
      </c>
      <c r="R123" t="s">
        <v>274</v>
      </c>
      <c r="S123" t="s">
        <v>274</v>
      </c>
      <c r="T123" t="s">
        <v>274</v>
      </c>
      <c r="U123" t="s">
        <v>286</v>
      </c>
      <c r="V123" t="s">
        <v>274</v>
      </c>
      <c r="W123" t="s">
        <v>274</v>
      </c>
      <c r="X123" t="s">
        <v>324</v>
      </c>
      <c r="Y123">
        <v>6.5</v>
      </c>
      <c r="Z123">
        <v>8</v>
      </c>
      <c r="AA123" t="s">
        <v>266</v>
      </c>
      <c r="AB123" t="s">
        <v>78</v>
      </c>
      <c r="AC123">
        <v>9</v>
      </c>
      <c r="AD123">
        <v>3</v>
      </c>
      <c r="AE123">
        <v>2</v>
      </c>
      <c r="AF123">
        <v>3</v>
      </c>
      <c r="AG123">
        <v>2</v>
      </c>
      <c r="AH123">
        <v>2</v>
      </c>
      <c r="AI123" t="s">
        <v>274</v>
      </c>
      <c r="AJ123" t="s">
        <v>274</v>
      </c>
      <c r="AK123">
        <v>38</v>
      </c>
      <c r="AL123">
        <v>95</v>
      </c>
      <c r="AM123" t="s">
        <v>85</v>
      </c>
      <c r="AN123" t="s">
        <v>274</v>
      </c>
      <c r="AO123" t="s">
        <v>274</v>
      </c>
      <c r="AP123" t="s">
        <v>274</v>
      </c>
      <c r="AQ123">
        <v>9</v>
      </c>
      <c r="AR123">
        <v>8</v>
      </c>
      <c r="AS123">
        <v>9</v>
      </c>
      <c r="AT123" t="s">
        <v>266</v>
      </c>
      <c r="AU123">
        <v>52</v>
      </c>
      <c r="AV123" t="s">
        <v>274</v>
      </c>
      <c r="AW123" t="s">
        <v>274</v>
      </c>
      <c r="AX123">
        <v>2</v>
      </c>
      <c r="AY123" t="s">
        <v>83</v>
      </c>
      <c r="AZ123" t="s">
        <v>274</v>
      </c>
      <c r="BA123">
        <v>2</v>
      </c>
      <c r="BB123">
        <v>2</v>
      </c>
      <c r="BC123" t="s">
        <v>274</v>
      </c>
      <c r="BD123">
        <v>2</v>
      </c>
      <c r="BE123">
        <v>8</v>
      </c>
      <c r="BF123">
        <v>45</v>
      </c>
      <c r="BG123" t="s">
        <v>306</v>
      </c>
      <c r="BH123" t="s">
        <v>281</v>
      </c>
      <c r="BI123">
        <v>2</v>
      </c>
      <c r="BJ123">
        <v>2.5</v>
      </c>
      <c r="BK123">
        <v>8.8000000000000007</v>
      </c>
      <c r="BL123">
        <v>2.2000000000000002</v>
      </c>
    </row>
    <row r="124" spans="1:64" x14ac:dyDescent="0.25">
      <c r="A124" t="s">
        <v>384</v>
      </c>
      <c r="B124">
        <v>35</v>
      </c>
      <c r="C124" t="s">
        <v>278</v>
      </c>
      <c r="D124" t="s">
        <v>66</v>
      </c>
      <c r="E124" t="s">
        <v>67</v>
      </c>
      <c r="F124" t="s">
        <v>68</v>
      </c>
      <c r="G124" t="s">
        <v>69</v>
      </c>
      <c r="H124" t="s">
        <v>279</v>
      </c>
      <c r="I124" t="s">
        <v>166</v>
      </c>
      <c r="J124" t="s">
        <v>72</v>
      </c>
      <c r="K124" t="s">
        <v>290</v>
      </c>
      <c r="L124">
        <v>3</v>
      </c>
      <c r="M124">
        <v>9</v>
      </c>
      <c r="N124" t="s">
        <v>135</v>
      </c>
      <c r="O124" t="s">
        <v>74</v>
      </c>
      <c r="P124" t="s">
        <v>273</v>
      </c>
      <c r="Q124" t="s">
        <v>101</v>
      </c>
      <c r="R124" t="s">
        <v>111</v>
      </c>
      <c r="S124" t="s">
        <v>111</v>
      </c>
      <c r="T124" t="s">
        <v>274</v>
      </c>
      <c r="U124" t="s">
        <v>80</v>
      </c>
      <c r="V124" t="s">
        <v>274</v>
      </c>
      <c r="W124" t="s">
        <v>111</v>
      </c>
      <c r="X124" t="s">
        <v>300</v>
      </c>
      <c r="Y124">
        <v>7</v>
      </c>
      <c r="Z124">
        <v>8</v>
      </c>
      <c r="AA124" t="s">
        <v>266</v>
      </c>
      <c r="AB124" t="s">
        <v>275</v>
      </c>
      <c r="AC124">
        <v>9</v>
      </c>
      <c r="AD124">
        <v>4</v>
      </c>
      <c r="AE124">
        <v>2</v>
      </c>
      <c r="AF124">
        <v>4</v>
      </c>
      <c r="AG124">
        <v>3</v>
      </c>
      <c r="AH124">
        <v>3</v>
      </c>
      <c r="AI124" t="s">
        <v>111</v>
      </c>
      <c r="AJ124" t="s">
        <v>274</v>
      </c>
      <c r="AK124">
        <v>28</v>
      </c>
      <c r="AL124">
        <v>70</v>
      </c>
      <c r="AM124" t="s">
        <v>85</v>
      </c>
      <c r="AN124" t="s">
        <v>274</v>
      </c>
      <c r="AO124" t="s">
        <v>111</v>
      </c>
      <c r="AP124" t="s">
        <v>274</v>
      </c>
      <c r="AQ124">
        <v>7</v>
      </c>
      <c r="AR124">
        <v>6</v>
      </c>
      <c r="AS124">
        <v>7</v>
      </c>
      <c r="AT124" t="s">
        <v>266</v>
      </c>
      <c r="AU124">
        <v>40</v>
      </c>
      <c r="AV124" t="s">
        <v>274</v>
      </c>
      <c r="AW124" t="s">
        <v>274</v>
      </c>
      <c r="AX124">
        <v>3</v>
      </c>
      <c r="AY124" t="s">
        <v>274</v>
      </c>
      <c r="AZ124" t="s">
        <v>274</v>
      </c>
      <c r="BA124">
        <v>3</v>
      </c>
      <c r="BB124">
        <v>3</v>
      </c>
      <c r="BC124" t="s">
        <v>274</v>
      </c>
      <c r="BD124">
        <v>3</v>
      </c>
      <c r="BE124">
        <v>6</v>
      </c>
      <c r="BF124">
        <v>28</v>
      </c>
      <c r="BG124" t="s">
        <v>86</v>
      </c>
      <c r="BH124" t="s">
        <v>281</v>
      </c>
      <c r="BI124">
        <v>3</v>
      </c>
      <c r="BJ124">
        <v>3.6</v>
      </c>
      <c r="BK124">
        <v>7.2</v>
      </c>
      <c r="BL124">
        <v>3.8</v>
      </c>
    </row>
    <row r="125" spans="1:64" x14ac:dyDescent="0.25">
      <c r="A125" t="s">
        <v>385</v>
      </c>
      <c r="B125">
        <v>45</v>
      </c>
      <c r="C125" t="s">
        <v>382</v>
      </c>
      <c r="D125" t="s">
        <v>89</v>
      </c>
      <c r="E125" t="s">
        <v>97</v>
      </c>
      <c r="F125" t="s">
        <v>98</v>
      </c>
      <c r="G125" t="s">
        <v>99</v>
      </c>
      <c r="H125" t="s">
        <v>124</v>
      </c>
      <c r="I125" t="s">
        <v>166</v>
      </c>
      <c r="J125" t="s">
        <v>315</v>
      </c>
      <c r="K125" t="s">
        <v>290</v>
      </c>
      <c r="L125">
        <v>2.5</v>
      </c>
      <c r="M125">
        <v>10</v>
      </c>
      <c r="N125" t="s">
        <v>135</v>
      </c>
      <c r="O125" t="s">
        <v>272</v>
      </c>
      <c r="P125" t="s">
        <v>273</v>
      </c>
      <c r="Q125" t="s">
        <v>295</v>
      </c>
      <c r="R125" t="s">
        <v>274</v>
      </c>
      <c r="S125" t="s">
        <v>111</v>
      </c>
      <c r="T125" t="s">
        <v>274</v>
      </c>
      <c r="U125" t="s">
        <v>80</v>
      </c>
      <c r="V125" t="s">
        <v>274</v>
      </c>
      <c r="W125" t="s">
        <v>274</v>
      </c>
      <c r="X125" t="s">
        <v>280</v>
      </c>
      <c r="Y125">
        <v>6.5</v>
      </c>
      <c r="Z125">
        <v>8</v>
      </c>
      <c r="AA125" t="s">
        <v>266</v>
      </c>
      <c r="AB125" t="s">
        <v>275</v>
      </c>
      <c r="AC125">
        <v>9</v>
      </c>
      <c r="AD125">
        <v>3</v>
      </c>
      <c r="AE125">
        <v>2</v>
      </c>
      <c r="AF125">
        <v>3</v>
      </c>
      <c r="AG125">
        <v>3</v>
      </c>
      <c r="AH125">
        <v>2</v>
      </c>
      <c r="AI125" t="s">
        <v>274</v>
      </c>
      <c r="AJ125" t="s">
        <v>274</v>
      </c>
      <c r="AK125">
        <v>35</v>
      </c>
      <c r="AL125">
        <v>88</v>
      </c>
      <c r="AM125" t="s">
        <v>85</v>
      </c>
      <c r="AN125" t="s">
        <v>274</v>
      </c>
      <c r="AO125" t="s">
        <v>274</v>
      </c>
      <c r="AP125" t="s">
        <v>274</v>
      </c>
      <c r="AQ125">
        <v>8</v>
      </c>
      <c r="AR125">
        <v>7</v>
      </c>
      <c r="AS125">
        <v>8</v>
      </c>
      <c r="AT125" t="s">
        <v>266</v>
      </c>
      <c r="AU125">
        <v>50</v>
      </c>
      <c r="AV125" t="s">
        <v>274</v>
      </c>
      <c r="AW125" t="s">
        <v>274</v>
      </c>
      <c r="AX125">
        <v>2</v>
      </c>
      <c r="AY125" t="s">
        <v>274</v>
      </c>
      <c r="AZ125" t="s">
        <v>274</v>
      </c>
      <c r="BA125">
        <v>2</v>
      </c>
      <c r="BB125">
        <v>2</v>
      </c>
      <c r="BC125" t="s">
        <v>274</v>
      </c>
      <c r="BD125">
        <v>2</v>
      </c>
      <c r="BE125">
        <v>7</v>
      </c>
      <c r="BF125">
        <v>40</v>
      </c>
      <c r="BG125" t="s">
        <v>86</v>
      </c>
      <c r="BH125" t="s">
        <v>281</v>
      </c>
      <c r="BI125">
        <v>2.5</v>
      </c>
      <c r="BJ125">
        <v>3</v>
      </c>
      <c r="BK125">
        <v>8</v>
      </c>
      <c r="BL125">
        <v>3</v>
      </c>
    </row>
    <row r="126" spans="1:64" x14ac:dyDescent="0.25">
      <c r="A126" t="s">
        <v>386</v>
      </c>
      <c r="B126">
        <v>39</v>
      </c>
      <c r="C126" t="s">
        <v>382</v>
      </c>
      <c r="D126" t="s">
        <v>66</v>
      </c>
      <c r="E126" t="s">
        <v>107</v>
      </c>
      <c r="F126" t="s">
        <v>122</v>
      </c>
      <c r="G126" t="s">
        <v>123</v>
      </c>
      <c r="H126" t="s">
        <v>279</v>
      </c>
      <c r="I126" t="s">
        <v>166</v>
      </c>
      <c r="J126" t="s">
        <v>285</v>
      </c>
      <c r="K126" t="s">
        <v>290</v>
      </c>
      <c r="L126">
        <v>2</v>
      </c>
      <c r="M126">
        <v>11</v>
      </c>
      <c r="N126" t="s">
        <v>135</v>
      </c>
      <c r="O126" t="s">
        <v>74</v>
      </c>
      <c r="P126" t="s">
        <v>273</v>
      </c>
      <c r="Q126" t="s">
        <v>295</v>
      </c>
      <c r="R126" t="s">
        <v>274</v>
      </c>
      <c r="S126" t="s">
        <v>274</v>
      </c>
      <c r="T126" t="s">
        <v>274</v>
      </c>
      <c r="U126" t="s">
        <v>286</v>
      </c>
      <c r="V126" t="s">
        <v>274</v>
      </c>
      <c r="W126" t="s">
        <v>274</v>
      </c>
      <c r="X126" t="s">
        <v>296</v>
      </c>
      <c r="Y126">
        <v>6</v>
      </c>
      <c r="Z126">
        <v>8.5</v>
      </c>
      <c r="AA126" t="s">
        <v>336</v>
      </c>
      <c r="AB126" t="s">
        <v>78</v>
      </c>
      <c r="AC126">
        <v>9</v>
      </c>
      <c r="AD126">
        <v>3</v>
      </c>
      <c r="AE126">
        <v>1</v>
      </c>
      <c r="AF126">
        <v>3</v>
      </c>
      <c r="AG126">
        <v>2</v>
      </c>
      <c r="AH126">
        <v>2</v>
      </c>
      <c r="AI126" t="s">
        <v>274</v>
      </c>
      <c r="AJ126" t="s">
        <v>274</v>
      </c>
      <c r="AK126">
        <v>40</v>
      </c>
      <c r="AL126">
        <v>100</v>
      </c>
      <c r="AM126" t="s">
        <v>85</v>
      </c>
      <c r="AN126" t="s">
        <v>274</v>
      </c>
      <c r="AO126" t="s">
        <v>274</v>
      </c>
      <c r="AP126" t="s">
        <v>274</v>
      </c>
      <c r="AQ126">
        <v>9</v>
      </c>
      <c r="AR126">
        <v>8</v>
      </c>
      <c r="AS126">
        <v>9</v>
      </c>
      <c r="AT126" t="s">
        <v>336</v>
      </c>
      <c r="AU126">
        <v>58</v>
      </c>
      <c r="AV126" t="s">
        <v>274</v>
      </c>
      <c r="AW126" t="s">
        <v>274</v>
      </c>
      <c r="AX126">
        <v>2</v>
      </c>
      <c r="AY126" t="s">
        <v>83</v>
      </c>
      <c r="AZ126" t="s">
        <v>274</v>
      </c>
      <c r="BA126">
        <v>2</v>
      </c>
      <c r="BB126">
        <v>2</v>
      </c>
      <c r="BC126" t="s">
        <v>274</v>
      </c>
      <c r="BD126">
        <v>2</v>
      </c>
      <c r="BE126">
        <v>8</v>
      </c>
      <c r="BF126">
        <v>50</v>
      </c>
      <c r="BG126" t="s">
        <v>306</v>
      </c>
      <c r="BH126" t="s">
        <v>281</v>
      </c>
      <c r="BI126">
        <v>1.5</v>
      </c>
      <c r="BJ126">
        <v>2</v>
      </c>
      <c r="BK126">
        <v>9.1999999999999993</v>
      </c>
      <c r="BL126">
        <v>2</v>
      </c>
    </row>
    <row r="127" spans="1:64" x14ac:dyDescent="0.25">
      <c r="A127" t="s">
        <v>387</v>
      </c>
      <c r="B127">
        <v>47</v>
      </c>
      <c r="C127" t="s">
        <v>382</v>
      </c>
      <c r="D127" t="s">
        <v>89</v>
      </c>
      <c r="E127" t="s">
        <v>114</v>
      </c>
      <c r="F127" t="s">
        <v>115</v>
      </c>
      <c r="G127" t="s">
        <v>116</v>
      </c>
      <c r="H127" t="s">
        <v>124</v>
      </c>
      <c r="I127" t="s">
        <v>166</v>
      </c>
      <c r="J127" t="s">
        <v>264</v>
      </c>
      <c r="K127" t="s">
        <v>290</v>
      </c>
      <c r="L127">
        <v>3</v>
      </c>
      <c r="M127">
        <v>10</v>
      </c>
      <c r="N127" t="s">
        <v>135</v>
      </c>
      <c r="O127" t="s">
        <v>74</v>
      </c>
      <c r="P127" t="s">
        <v>273</v>
      </c>
      <c r="Q127" t="s">
        <v>295</v>
      </c>
      <c r="R127" t="s">
        <v>274</v>
      </c>
      <c r="S127" t="s">
        <v>111</v>
      </c>
      <c r="T127" t="s">
        <v>274</v>
      </c>
      <c r="U127" t="s">
        <v>80</v>
      </c>
      <c r="V127" t="s">
        <v>274</v>
      </c>
      <c r="W127" t="s">
        <v>274</v>
      </c>
      <c r="X127" t="s">
        <v>388</v>
      </c>
      <c r="Y127">
        <v>7</v>
      </c>
      <c r="Z127">
        <v>8</v>
      </c>
      <c r="AA127" t="s">
        <v>266</v>
      </c>
      <c r="AB127" t="s">
        <v>275</v>
      </c>
      <c r="AC127">
        <v>8.5</v>
      </c>
      <c r="AD127">
        <v>4</v>
      </c>
      <c r="AE127">
        <v>2</v>
      </c>
      <c r="AF127">
        <v>4</v>
      </c>
      <c r="AG127">
        <v>3</v>
      </c>
      <c r="AH127">
        <v>3</v>
      </c>
      <c r="AI127" t="s">
        <v>111</v>
      </c>
      <c r="AJ127" t="s">
        <v>274</v>
      </c>
      <c r="AK127">
        <v>28</v>
      </c>
      <c r="AL127">
        <v>70</v>
      </c>
      <c r="AM127" t="s">
        <v>85</v>
      </c>
      <c r="AN127" t="s">
        <v>274</v>
      </c>
      <c r="AO127" t="s">
        <v>111</v>
      </c>
      <c r="AP127" t="s">
        <v>274</v>
      </c>
      <c r="AQ127">
        <v>7</v>
      </c>
      <c r="AR127">
        <v>6</v>
      </c>
      <c r="AS127">
        <v>7</v>
      </c>
      <c r="AT127" t="s">
        <v>266</v>
      </c>
      <c r="AU127">
        <v>40</v>
      </c>
      <c r="AV127" t="s">
        <v>274</v>
      </c>
      <c r="AW127" t="s">
        <v>274</v>
      </c>
      <c r="AX127">
        <v>3</v>
      </c>
      <c r="AY127" t="s">
        <v>274</v>
      </c>
      <c r="AZ127" t="s">
        <v>274</v>
      </c>
      <c r="BA127">
        <v>3</v>
      </c>
      <c r="BB127">
        <v>3</v>
      </c>
      <c r="BC127" t="s">
        <v>274</v>
      </c>
      <c r="BD127">
        <v>3</v>
      </c>
      <c r="BE127">
        <v>6</v>
      </c>
      <c r="BF127">
        <v>28</v>
      </c>
      <c r="BG127" t="s">
        <v>86</v>
      </c>
      <c r="BH127" t="s">
        <v>281</v>
      </c>
      <c r="BI127">
        <v>3</v>
      </c>
      <c r="BJ127">
        <v>3.6</v>
      </c>
      <c r="BK127">
        <v>7.2</v>
      </c>
      <c r="BL127">
        <v>3.8</v>
      </c>
    </row>
    <row r="128" spans="1:64" x14ac:dyDescent="0.25">
      <c r="A128" t="s">
        <v>389</v>
      </c>
      <c r="B128">
        <v>36</v>
      </c>
      <c r="C128" t="s">
        <v>382</v>
      </c>
      <c r="D128" t="s">
        <v>66</v>
      </c>
      <c r="E128" t="s">
        <v>90</v>
      </c>
      <c r="F128" t="s">
        <v>128</v>
      </c>
      <c r="G128" t="s">
        <v>129</v>
      </c>
      <c r="H128" t="s">
        <v>279</v>
      </c>
      <c r="I128" t="s">
        <v>166</v>
      </c>
      <c r="J128" t="s">
        <v>242</v>
      </c>
      <c r="K128" t="s">
        <v>143</v>
      </c>
      <c r="L128">
        <v>3.5</v>
      </c>
      <c r="M128">
        <v>9</v>
      </c>
      <c r="N128" t="s">
        <v>74</v>
      </c>
      <c r="O128" t="s">
        <v>130</v>
      </c>
      <c r="P128" t="s">
        <v>273</v>
      </c>
      <c r="Q128" t="s">
        <v>101</v>
      </c>
      <c r="R128" t="s">
        <v>111</v>
      </c>
      <c r="S128" t="s">
        <v>111</v>
      </c>
      <c r="T128" t="s">
        <v>274</v>
      </c>
      <c r="U128" t="s">
        <v>80</v>
      </c>
      <c r="V128" t="s">
        <v>274</v>
      </c>
      <c r="W128" t="s">
        <v>111</v>
      </c>
      <c r="X128" t="s">
        <v>390</v>
      </c>
      <c r="Y128">
        <v>7.5</v>
      </c>
      <c r="Z128">
        <v>7.5</v>
      </c>
      <c r="AA128" t="s">
        <v>266</v>
      </c>
      <c r="AB128" t="s">
        <v>275</v>
      </c>
      <c r="AC128">
        <v>9</v>
      </c>
      <c r="AD128">
        <v>4</v>
      </c>
      <c r="AE128">
        <v>2</v>
      </c>
      <c r="AF128">
        <v>4</v>
      </c>
      <c r="AG128">
        <v>4</v>
      </c>
      <c r="AH128">
        <v>3</v>
      </c>
      <c r="AI128" t="s">
        <v>111</v>
      </c>
      <c r="AJ128" t="s">
        <v>274</v>
      </c>
      <c r="AK128">
        <v>26</v>
      </c>
      <c r="AL128">
        <v>65</v>
      </c>
      <c r="AM128" t="s">
        <v>85</v>
      </c>
      <c r="AN128" t="s">
        <v>274</v>
      </c>
      <c r="AO128" t="s">
        <v>111</v>
      </c>
      <c r="AP128" t="s">
        <v>274</v>
      </c>
      <c r="AQ128">
        <v>7</v>
      </c>
      <c r="AR128">
        <v>6</v>
      </c>
      <c r="AS128">
        <v>7</v>
      </c>
      <c r="AT128" t="s">
        <v>266</v>
      </c>
      <c r="AU128">
        <v>40</v>
      </c>
      <c r="AV128" t="s">
        <v>274</v>
      </c>
      <c r="AW128" t="s">
        <v>274</v>
      </c>
      <c r="AX128">
        <v>3</v>
      </c>
      <c r="AY128" t="s">
        <v>274</v>
      </c>
      <c r="AZ128" t="s">
        <v>274</v>
      </c>
      <c r="BA128">
        <v>3</v>
      </c>
      <c r="BB128">
        <v>3</v>
      </c>
      <c r="BC128" t="s">
        <v>274</v>
      </c>
      <c r="BD128">
        <v>3</v>
      </c>
      <c r="BE128">
        <v>6</v>
      </c>
      <c r="BF128">
        <v>26</v>
      </c>
      <c r="BG128" t="s">
        <v>86</v>
      </c>
      <c r="BH128" t="s">
        <v>281</v>
      </c>
      <c r="BI128">
        <v>3.2</v>
      </c>
      <c r="BJ128">
        <v>3.8</v>
      </c>
      <c r="BK128">
        <v>7</v>
      </c>
      <c r="BL128">
        <v>4</v>
      </c>
    </row>
    <row r="129" spans="1:64" x14ac:dyDescent="0.25">
      <c r="A129" t="s">
        <v>391</v>
      </c>
      <c r="B129">
        <v>43</v>
      </c>
      <c r="C129" t="s">
        <v>382</v>
      </c>
      <c r="D129" t="s">
        <v>89</v>
      </c>
      <c r="E129" t="s">
        <v>107</v>
      </c>
      <c r="F129" t="s">
        <v>141</v>
      </c>
      <c r="G129" t="s">
        <v>142</v>
      </c>
      <c r="H129" t="s">
        <v>279</v>
      </c>
      <c r="I129" t="s">
        <v>166</v>
      </c>
      <c r="J129" t="s">
        <v>311</v>
      </c>
      <c r="K129" t="s">
        <v>290</v>
      </c>
      <c r="L129">
        <v>2</v>
      </c>
      <c r="M129">
        <v>12</v>
      </c>
      <c r="N129" t="s">
        <v>272</v>
      </c>
      <c r="O129" t="s">
        <v>130</v>
      </c>
      <c r="P129" t="s">
        <v>273</v>
      </c>
      <c r="Q129" t="s">
        <v>295</v>
      </c>
      <c r="R129" t="s">
        <v>274</v>
      </c>
      <c r="S129" t="s">
        <v>274</v>
      </c>
      <c r="T129" t="s">
        <v>274</v>
      </c>
      <c r="U129" t="s">
        <v>286</v>
      </c>
      <c r="V129" t="s">
        <v>274</v>
      </c>
      <c r="W129" t="s">
        <v>274</v>
      </c>
      <c r="X129" t="s">
        <v>392</v>
      </c>
      <c r="Y129">
        <v>6</v>
      </c>
      <c r="Z129">
        <v>8.5</v>
      </c>
      <c r="AA129" t="s">
        <v>266</v>
      </c>
      <c r="AB129" t="s">
        <v>78</v>
      </c>
      <c r="AC129">
        <v>9.5</v>
      </c>
      <c r="AD129">
        <v>3</v>
      </c>
      <c r="AE129">
        <v>1</v>
      </c>
      <c r="AF129">
        <v>3</v>
      </c>
      <c r="AG129">
        <v>2</v>
      </c>
      <c r="AH129">
        <v>2</v>
      </c>
      <c r="AI129" t="s">
        <v>274</v>
      </c>
      <c r="AJ129" t="s">
        <v>274</v>
      </c>
      <c r="AK129">
        <v>40</v>
      </c>
      <c r="AL129">
        <v>100</v>
      </c>
      <c r="AM129" t="s">
        <v>85</v>
      </c>
      <c r="AN129" t="s">
        <v>274</v>
      </c>
      <c r="AO129" t="s">
        <v>274</v>
      </c>
      <c r="AP129" t="s">
        <v>274</v>
      </c>
      <c r="AQ129">
        <v>9</v>
      </c>
      <c r="AR129">
        <v>8</v>
      </c>
      <c r="AS129">
        <v>9</v>
      </c>
      <c r="AT129" t="s">
        <v>266</v>
      </c>
      <c r="AU129">
        <v>58</v>
      </c>
      <c r="AV129" t="s">
        <v>274</v>
      </c>
      <c r="AW129" t="s">
        <v>274</v>
      </c>
      <c r="AX129">
        <v>2</v>
      </c>
      <c r="AY129" t="s">
        <v>83</v>
      </c>
      <c r="AZ129" t="s">
        <v>274</v>
      </c>
      <c r="BA129">
        <v>2</v>
      </c>
      <c r="BB129">
        <v>2</v>
      </c>
      <c r="BC129" t="s">
        <v>274</v>
      </c>
      <c r="BD129">
        <v>2</v>
      </c>
      <c r="BE129">
        <v>8</v>
      </c>
      <c r="BF129">
        <v>52</v>
      </c>
      <c r="BG129" t="s">
        <v>306</v>
      </c>
      <c r="BH129" t="s">
        <v>281</v>
      </c>
      <c r="BI129">
        <v>1.5</v>
      </c>
      <c r="BJ129">
        <v>2</v>
      </c>
      <c r="BK129">
        <v>9.1999999999999993</v>
      </c>
      <c r="BL129">
        <v>2</v>
      </c>
    </row>
    <row r="130" spans="1:64" x14ac:dyDescent="0.25">
      <c r="A130" t="s">
        <v>393</v>
      </c>
      <c r="B130">
        <v>37</v>
      </c>
      <c r="C130" t="s">
        <v>382</v>
      </c>
      <c r="D130" t="s">
        <v>66</v>
      </c>
      <c r="E130" t="s">
        <v>67</v>
      </c>
      <c r="F130" t="s">
        <v>119</v>
      </c>
      <c r="G130" t="s">
        <v>120</v>
      </c>
      <c r="H130" t="s">
        <v>124</v>
      </c>
      <c r="I130" t="s">
        <v>166</v>
      </c>
      <c r="J130" t="s">
        <v>72</v>
      </c>
      <c r="K130" t="s">
        <v>290</v>
      </c>
      <c r="L130">
        <v>3.5</v>
      </c>
      <c r="M130">
        <v>8</v>
      </c>
      <c r="N130" t="s">
        <v>135</v>
      </c>
      <c r="O130" t="s">
        <v>75</v>
      </c>
      <c r="P130" t="s">
        <v>273</v>
      </c>
      <c r="Q130" t="s">
        <v>101</v>
      </c>
      <c r="R130" t="s">
        <v>111</v>
      </c>
      <c r="S130" t="s">
        <v>111</v>
      </c>
      <c r="T130" t="s">
        <v>274</v>
      </c>
      <c r="U130" t="s">
        <v>80</v>
      </c>
      <c r="V130" t="s">
        <v>274</v>
      </c>
      <c r="W130" t="s">
        <v>111</v>
      </c>
      <c r="X130" t="s">
        <v>300</v>
      </c>
      <c r="Y130">
        <v>7.5</v>
      </c>
      <c r="Z130">
        <v>7.5</v>
      </c>
      <c r="AA130" t="s">
        <v>266</v>
      </c>
      <c r="AB130" t="s">
        <v>275</v>
      </c>
      <c r="AC130">
        <v>8.5</v>
      </c>
      <c r="AD130">
        <v>4</v>
      </c>
      <c r="AE130">
        <v>2</v>
      </c>
      <c r="AF130">
        <v>4</v>
      </c>
      <c r="AG130">
        <v>4</v>
      </c>
      <c r="AH130">
        <v>3</v>
      </c>
      <c r="AI130" t="s">
        <v>111</v>
      </c>
      <c r="AJ130" t="s">
        <v>274</v>
      </c>
      <c r="AK130">
        <v>26</v>
      </c>
      <c r="AL130">
        <v>65</v>
      </c>
      <c r="AM130" t="s">
        <v>85</v>
      </c>
      <c r="AN130" t="s">
        <v>274</v>
      </c>
      <c r="AO130" t="s">
        <v>111</v>
      </c>
      <c r="AP130" t="s">
        <v>274</v>
      </c>
      <c r="AQ130">
        <v>7</v>
      </c>
      <c r="AR130">
        <v>6</v>
      </c>
      <c r="AS130">
        <v>7</v>
      </c>
      <c r="AT130" t="s">
        <v>266</v>
      </c>
      <c r="AU130">
        <v>38</v>
      </c>
      <c r="AV130" t="s">
        <v>274</v>
      </c>
      <c r="AW130" t="s">
        <v>274</v>
      </c>
      <c r="AX130">
        <v>3</v>
      </c>
      <c r="AY130" t="s">
        <v>274</v>
      </c>
      <c r="AZ130" t="s">
        <v>274</v>
      </c>
      <c r="BA130">
        <v>3</v>
      </c>
      <c r="BB130">
        <v>3</v>
      </c>
      <c r="BC130" t="s">
        <v>274</v>
      </c>
      <c r="BD130">
        <v>3</v>
      </c>
      <c r="BE130">
        <v>6</v>
      </c>
      <c r="BF130">
        <v>26</v>
      </c>
      <c r="BG130" t="s">
        <v>86</v>
      </c>
      <c r="BH130" t="s">
        <v>281</v>
      </c>
      <c r="BI130">
        <v>3.2</v>
      </c>
      <c r="BJ130">
        <v>3.8</v>
      </c>
      <c r="BK130">
        <v>7</v>
      </c>
      <c r="BL130">
        <v>4</v>
      </c>
    </row>
    <row r="131" spans="1:64" x14ac:dyDescent="0.25">
      <c r="A131" t="s">
        <v>394</v>
      </c>
      <c r="B131">
        <v>48</v>
      </c>
      <c r="C131" t="s">
        <v>382</v>
      </c>
      <c r="D131" t="s">
        <v>89</v>
      </c>
      <c r="E131" t="s">
        <v>97</v>
      </c>
      <c r="F131" t="s">
        <v>163</v>
      </c>
      <c r="G131" t="s">
        <v>164</v>
      </c>
      <c r="H131" t="s">
        <v>279</v>
      </c>
      <c r="I131" t="s">
        <v>166</v>
      </c>
      <c r="J131" t="s">
        <v>242</v>
      </c>
      <c r="K131" t="s">
        <v>290</v>
      </c>
      <c r="L131">
        <v>2</v>
      </c>
      <c r="M131">
        <v>12</v>
      </c>
      <c r="N131" t="s">
        <v>272</v>
      </c>
      <c r="O131" t="s">
        <v>135</v>
      </c>
      <c r="P131" t="s">
        <v>273</v>
      </c>
      <c r="Q131" t="s">
        <v>295</v>
      </c>
      <c r="R131" t="s">
        <v>274</v>
      </c>
      <c r="S131" t="s">
        <v>274</v>
      </c>
      <c r="T131" t="s">
        <v>274</v>
      </c>
      <c r="U131" t="s">
        <v>286</v>
      </c>
      <c r="V131" t="s">
        <v>274</v>
      </c>
      <c r="W131" t="s">
        <v>274</v>
      </c>
      <c r="X131" t="s">
        <v>358</v>
      </c>
      <c r="Y131">
        <v>6</v>
      </c>
      <c r="Z131">
        <v>8.5</v>
      </c>
      <c r="AA131" t="s">
        <v>266</v>
      </c>
      <c r="AB131" t="s">
        <v>78</v>
      </c>
      <c r="AC131">
        <v>9.5</v>
      </c>
      <c r="AD131">
        <v>3</v>
      </c>
      <c r="AE131">
        <v>1</v>
      </c>
      <c r="AF131">
        <v>3</v>
      </c>
      <c r="AG131">
        <v>2</v>
      </c>
      <c r="AH131">
        <v>2</v>
      </c>
      <c r="AI131" t="s">
        <v>274</v>
      </c>
      <c r="AJ131" t="s">
        <v>274</v>
      </c>
      <c r="AK131">
        <v>40</v>
      </c>
      <c r="AL131">
        <v>100</v>
      </c>
      <c r="AM131" t="s">
        <v>85</v>
      </c>
      <c r="AN131" t="s">
        <v>274</v>
      </c>
      <c r="AO131" t="s">
        <v>274</v>
      </c>
      <c r="AP131" t="s">
        <v>274</v>
      </c>
      <c r="AQ131">
        <v>9</v>
      </c>
      <c r="AR131">
        <v>8</v>
      </c>
      <c r="AS131">
        <v>9</v>
      </c>
      <c r="AT131" t="s">
        <v>266</v>
      </c>
      <c r="AU131">
        <v>58</v>
      </c>
      <c r="AV131" t="s">
        <v>274</v>
      </c>
      <c r="AW131" t="s">
        <v>274</v>
      </c>
      <c r="AX131">
        <v>2</v>
      </c>
      <c r="AY131" t="s">
        <v>83</v>
      </c>
      <c r="AZ131" t="s">
        <v>274</v>
      </c>
      <c r="BA131">
        <v>2</v>
      </c>
      <c r="BB131">
        <v>2</v>
      </c>
      <c r="BC131" t="s">
        <v>274</v>
      </c>
      <c r="BD131">
        <v>2</v>
      </c>
      <c r="BE131">
        <v>8</v>
      </c>
      <c r="BF131">
        <v>55</v>
      </c>
      <c r="BG131" t="s">
        <v>306</v>
      </c>
      <c r="BH131" t="s">
        <v>281</v>
      </c>
      <c r="BI131">
        <v>1.5</v>
      </c>
      <c r="BJ131">
        <v>2</v>
      </c>
      <c r="BK131">
        <v>9.1999999999999993</v>
      </c>
      <c r="BL131">
        <v>2</v>
      </c>
    </row>
    <row r="132" spans="1:64" x14ac:dyDescent="0.25">
      <c r="A132" t="s">
        <v>395</v>
      </c>
      <c r="B132">
        <v>41</v>
      </c>
      <c r="C132" t="s">
        <v>382</v>
      </c>
      <c r="D132" t="s">
        <v>66</v>
      </c>
      <c r="E132" t="s">
        <v>114</v>
      </c>
      <c r="F132" t="s">
        <v>145</v>
      </c>
      <c r="G132" t="s">
        <v>146</v>
      </c>
      <c r="H132" t="s">
        <v>279</v>
      </c>
      <c r="I132" t="s">
        <v>166</v>
      </c>
      <c r="J132" t="s">
        <v>303</v>
      </c>
      <c r="K132" t="s">
        <v>290</v>
      </c>
      <c r="L132">
        <v>3.5</v>
      </c>
      <c r="M132">
        <v>10</v>
      </c>
      <c r="N132" t="s">
        <v>74</v>
      </c>
      <c r="O132" t="s">
        <v>135</v>
      </c>
      <c r="P132" t="s">
        <v>100</v>
      </c>
      <c r="Q132" t="s">
        <v>101</v>
      </c>
      <c r="R132" t="s">
        <v>111</v>
      </c>
      <c r="S132" t="s">
        <v>111</v>
      </c>
      <c r="T132" t="s">
        <v>111</v>
      </c>
      <c r="U132" t="s">
        <v>80</v>
      </c>
      <c r="V132" t="s">
        <v>111</v>
      </c>
      <c r="W132" t="s">
        <v>111</v>
      </c>
      <c r="X132" t="s">
        <v>396</v>
      </c>
      <c r="Y132">
        <v>7.5</v>
      </c>
      <c r="Z132">
        <v>7.5</v>
      </c>
      <c r="AA132" t="s">
        <v>266</v>
      </c>
      <c r="AB132" t="s">
        <v>103</v>
      </c>
      <c r="AC132">
        <v>8.5</v>
      </c>
      <c r="AD132">
        <v>4</v>
      </c>
      <c r="AE132">
        <v>2</v>
      </c>
      <c r="AF132">
        <v>4</v>
      </c>
      <c r="AG132">
        <v>4</v>
      </c>
      <c r="AH132">
        <v>3</v>
      </c>
      <c r="AI132" t="s">
        <v>111</v>
      </c>
      <c r="AJ132" t="s">
        <v>111</v>
      </c>
      <c r="AK132">
        <v>24</v>
      </c>
      <c r="AL132">
        <v>60</v>
      </c>
      <c r="AM132" t="s">
        <v>85</v>
      </c>
      <c r="AN132" t="s">
        <v>111</v>
      </c>
      <c r="AO132" t="s">
        <v>111</v>
      </c>
      <c r="AP132" t="s">
        <v>274</v>
      </c>
      <c r="AQ132">
        <v>6</v>
      </c>
      <c r="AR132">
        <v>6</v>
      </c>
      <c r="AS132">
        <v>6</v>
      </c>
      <c r="AT132" t="s">
        <v>266</v>
      </c>
      <c r="AU132">
        <v>34</v>
      </c>
      <c r="AV132" t="s">
        <v>111</v>
      </c>
      <c r="AW132" t="s">
        <v>274</v>
      </c>
      <c r="AX132">
        <v>3</v>
      </c>
      <c r="AY132" t="s">
        <v>274</v>
      </c>
      <c r="AZ132" t="s">
        <v>111</v>
      </c>
      <c r="BA132">
        <v>3</v>
      </c>
      <c r="BB132">
        <v>3</v>
      </c>
      <c r="BC132" t="s">
        <v>274</v>
      </c>
      <c r="BD132">
        <v>3</v>
      </c>
      <c r="BE132">
        <v>6</v>
      </c>
      <c r="BF132">
        <v>28</v>
      </c>
      <c r="BG132" t="s">
        <v>152</v>
      </c>
      <c r="BH132" t="s">
        <v>281</v>
      </c>
      <c r="BI132">
        <v>3.2</v>
      </c>
      <c r="BJ132">
        <v>3.8</v>
      </c>
      <c r="BK132">
        <v>7</v>
      </c>
      <c r="BL132">
        <v>4</v>
      </c>
    </row>
    <row r="133" spans="1:64" x14ac:dyDescent="0.25">
      <c r="A133" t="s">
        <v>397</v>
      </c>
      <c r="B133">
        <v>36</v>
      </c>
      <c r="C133" t="s">
        <v>382</v>
      </c>
      <c r="D133" t="s">
        <v>89</v>
      </c>
      <c r="E133" t="s">
        <v>149</v>
      </c>
      <c r="F133" t="s">
        <v>198</v>
      </c>
      <c r="G133" t="s">
        <v>199</v>
      </c>
      <c r="H133" t="s">
        <v>279</v>
      </c>
      <c r="I133" t="s">
        <v>166</v>
      </c>
      <c r="J133" t="s">
        <v>167</v>
      </c>
      <c r="K133" t="s">
        <v>290</v>
      </c>
      <c r="L133">
        <v>3</v>
      </c>
      <c r="M133">
        <v>9</v>
      </c>
      <c r="N133" t="s">
        <v>74</v>
      </c>
      <c r="O133" t="s">
        <v>272</v>
      </c>
      <c r="P133" t="s">
        <v>273</v>
      </c>
      <c r="Q133" t="s">
        <v>101</v>
      </c>
      <c r="R133" t="s">
        <v>111</v>
      </c>
      <c r="S133" t="s">
        <v>111</v>
      </c>
      <c r="T133" t="s">
        <v>274</v>
      </c>
      <c r="U133" t="s">
        <v>80</v>
      </c>
      <c r="V133" t="s">
        <v>274</v>
      </c>
      <c r="W133" t="s">
        <v>111</v>
      </c>
      <c r="X133" t="s">
        <v>313</v>
      </c>
      <c r="Y133">
        <v>7</v>
      </c>
      <c r="Z133">
        <v>8</v>
      </c>
      <c r="AA133" t="s">
        <v>266</v>
      </c>
      <c r="AB133" t="s">
        <v>275</v>
      </c>
      <c r="AC133">
        <v>9</v>
      </c>
      <c r="AD133">
        <v>4</v>
      </c>
      <c r="AE133">
        <v>2</v>
      </c>
      <c r="AF133">
        <v>4</v>
      </c>
      <c r="AG133">
        <v>3</v>
      </c>
      <c r="AH133">
        <v>3</v>
      </c>
      <c r="AI133" t="s">
        <v>111</v>
      </c>
      <c r="AJ133" t="s">
        <v>274</v>
      </c>
      <c r="AK133">
        <v>28</v>
      </c>
      <c r="AL133">
        <v>70</v>
      </c>
      <c r="AM133" t="s">
        <v>85</v>
      </c>
      <c r="AN133" t="s">
        <v>274</v>
      </c>
      <c r="AO133" t="s">
        <v>111</v>
      </c>
      <c r="AP133" t="s">
        <v>274</v>
      </c>
      <c r="AQ133">
        <v>7</v>
      </c>
      <c r="AR133">
        <v>6</v>
      </c>
      <c r="AS133">
        <v>7</v>
      </c>
      <c r="AT133" t="s">
        <v>266</v>
      </c>
      <c r="AU133">
        <v>40</v>
      </c>
      <c r="AV133" t="s">
        <v>274</v>
      </c>
      <c r="AW133" t="s">
        <v>274</v>
      </c>
      <c r="AX133">
        <v>3</v>
      </c>
      <c r="AY133" t="s">
        <v>274</v>
      </c>
      <c r="AZ133" t="s">
        <v>274</v>
      </c>
      <c r="BA133">
        <v>3</v>
      </c>
      <c r="BB133">
        <v>3</v>
      </c>
      <c r="BC133" t="s">
        <v>274</v>
      </c>
      <c r="BD133">
        <v>3</v>
      </c>
      <c r="BE133">
        <v>6</v>
      </c>
      <c r="BF133">
        <v>28</v>
      </c>
      <c r="BG133" t="s">
        <v>86</v>
      </c>
      <c r="BH133" t="s">
        <v>281</v>
      </c>
      <c r="BI133">
        <v>3</v>
      </c>
      <c r="BJ133">
        <v>3.6</v>
      </c>
      <c r="BK133">
        <v>7.2</v>
      </c>
      <c r="BL133">
        <v>3.8</v>
      </c>
    </row>
    <row r="134" spans="1:64" x14ac:dyDescent="0.25">
      <c r="A134" t="s">
        <v>398</v>
      </c>
      <c r="B134">
        <v>44</v>
      </c>
      <c r="C134" t="s">
        <v>382</v>
      </c>
      <c r="D134" t="s">
        <v>66</v>
      </c>
      <c r="E134" t="s">
        <v>107</v>
      </c>
      <c r="F134" t="s">
        <v>190</v>
      </c>
      <c r="G134" t="s">
        <v>191</v>
      </c>
      <c r="H134" t="s">
        <v>279</v>
      </c>
      <c r="I134" t="s">
        <v>166</v>
      </c>
      <c r="J134" t="s">
        <v>285</v>
      </c>
      <c r="K134" t="s">
        <v>290</v>
      </c>
      <c r="L134">
        <v>2</v>
      </c>
      <c r="M134">
        <v>12</v>
      </c>
      <c r="N134" t="s">
        <v>135</v>
      </c>
      <c r="O134" t="s">
        <v>74</v>
      </c>
      <c r="P134" t="s">
        <v>273</v>
      </c>
      <c r="Q134" t="s">
        <v>295</v>
      </c>
      <c r="R134" t="s">
        <v>274</v>
      </c>
      <c r="S134" t="s">
        <v>274</v>
      </c>
      <c r="T134" t="s">
        <v>274</v>
      </c>
      <c r="U134" t="s">
        <v>286</v>
      </c>
      <c r="V134" t="s">
        <v>274</v>
      </c>
      <c r="W134" t="s">
        <v>274</v>
      </c>
      <c r="X134" t="s">
        <v>296</v>
      </c>
      <c r="Y134">
        <v>6</v>
      </c>
      <c r="Z134">
        <v>8.5</v>
      </c>
      <c r="AA134" t="s">
        <v>336</v>
      </c>
      <c r="AB134" t="s">
        <v>78</v>
      </c>
      <c r="AC134">
        <v>9</v>
      </c>
      <c r="AD134">
        <v>3</v>
      </c>
      <c r="AE134">
        <v>1</v>
      </c>
      <c r="AF134">
        <v>3</v>
      </c>
      <c r="AG134">
        <v>2</v>
      </c>
      <c r="AH134">
        <v>2</v>
      </c>
      <c r="AI134" t="s">
        <v>274</v>
      </c>
      <c r="AJ134" t="s">
        <v>274</v>
      </c>
      <c r="AK134">
        <v>40</v>
      </c>
      <c r="AL134">
        <v>100</v>
      </c>
      <c r="AM134" t="s">
        <v>85</v>
      </c>
      <c r="AN134" t="s">
        <v>274</v>
      </c>
      <c r="AO134" t="s">
        <v>274</v>
      </c>
      <c r="AP134" t="s">
        <v>274</v>
      </c>
      <c r="AQ134">
        <v>9</v>
      </c>
      <c r="AR134">
        <v>8</v>
      </c>
      <c r="AS134">
        <v>9</v>
      </c>
      <c r="AT134" t="s">
        <v>336</v>
      </c>
      <c r="AU134">
        <v>58</v>
      </c>
      <c r="AV134" t="s">
        <v>274</v>
      </c>
      <c r="AW134" t="s">
        <v>274</v>
      </c>
      <c r="AX134">
        <v>2</v>
      </c>
      <c r="AY134" t="s">
        <v>83</v>
      </c>
      <c r="AZ134" t="s">
        <v>274</v>
      </c>
      <c r="BA134">
        <v>2</v>
      </c>
      <c r="BB134">
        <v>2</v>
      </c>
      <c r="BC134" t="s">
        <v>274</v>
      </c>
      <c r="BD134">
        <v>2</v>
      </c>
      <c r="BE134">
        <v>8</v>
      </c>
      <c r="BF134">
        <v>52</v>
      </c>
      <c r="BG134" t="s">
        <v>306</v>
      </c>
      <c r="BH134" t="s">
        <v>281</v>
      </c>
      <c r="BI134">
        <v>1.5</v>
      </c>
      <c r="BJ134">
        <v>2</v>
      </c>
      <c r="BK134">
        <v>9.1999999999999993</v>
      </c>
      <c r="BL134">
        <v>2</v>
      </c>
    </row>
    <row r="135" spans="1:64" x14ac:dyDescent="0.25">
      <c r="A135" t="s">
        <v>399</v>
      </c>
      <c r="B135">
        <v>40</v>
      </c>
      <c r="C135" t="s">
        <v>382</v>
      </c>
      <c r="D135" t="s">
        <v>89</v>
      </c>
      <c r="E135" t="s">
        <v>90</v>
      </c>
      <c r="F135" t="s">
        <v>157</v>
      </c>
      <c r="G135" t="s">
        <v>158</v>
      </c>
      <c r="H135" t="s">
        <v>279</v>
      </c>
      <c r="I135" t="s">
        <v>166</v>
      </c>
      <c r="J135" t="s">
        <v>289</v>
      </c>
      <c r="K135" t="s">
        <v>290</v>
      </c>
      <c r="L135">
        <v>2.5</v>
      </c>
      <c r="M135">
        <v>10</v>
      </c>
      <c r="N135" t="s">
        <v>75</v>
      </c>
      <c r="O135" t="s">
        <v>272</v>
      </c>
      <c r="P135" t="s">
        <v>273</v>
      </c>
      <c r="Q135" t="s">
        <v>295</v>
      </c>
      <c r="R135" t="s">
        <v>274</v>
      </c>
      <c r="S135" t="s">
        <v>274</v>
      </c>
      <c r="T135" t="s">
        <v>274</v>
      </c>
      <c r="U135" t="s">
        <v>286</v>
      </c>
      <c r="V135" t="s">
        <v>274</v>
      </c>
      <c r="W135" t="s">
        <v>274</v>
      </c>
      <c r="X135" t="s">
        <v>313</v>
      </c>
      <c r="Y135">
        <v>6.5</v>
      </c>
      <c r="Z135">
        <v>8</v>
      </c>
      <c r="AA135" t="s">
        <v>266</v>
      </c>
      <c r="AB135" t="s">
        <v>78</v>
      </c>
      <c r="AC135">
        <v>9.5</v>
      </c>
      <c r="AD135">
        <v>3</v>
      </c>
      <c r="AE135">
        <v>2</v>
      </c>
      <c r="AF135">
        <v>3</v>
      </c>
      <c r="AG135">
        <v>2</v>
      </c>
      <c r="AH135">
        <v>2</v>
      </c>
      <c r="AI135" t="s">
        <v>274</v>
      </c>
      <c r="AJ135" t="s">
        <v>274</v>
      </c>
      <c r="AK135">
        <v>38</v>
      </c>
      <c r="AL135">
        <v>95</v>
      </c>
      <c r="AM135" t="s">
        <v>85</v>
      </c>
      <c r="AN135" t="s">
        <v>274</v>
      </c>
      <c r="AO135" t="s">
        <v>274</v>
      </c>
      <c r="AP135" t="s">
        <v>274</v>
      </c>
      <c r="AQ135">
        <v>9</v>
      </c>
      <c r="AR135">
        <v>8</v>
      </c>
      <c r="AS135">
        <v>9</v>
      </c>
      <c r="AT135" t="s">
        <v>266</v>
      </c>
      <c r="AU135">
        <v>55</v>
      </c>
      <c r="AV135" t="s">
        <v>274</v>
      </c>
      <c r="AW135" t="s">
        <v>274</v>
      </c>
      <c r="AX135">
        <v>2</v>
      </c>
      <c r="AY135" t="s">
        <v>83</v>
      </c>
      <c r="AZ135" t="s">
        <v>274</v>
      </c>
      <c r="BA135">
        <v>2</v>
      </c>
      <c r="BB135">
        <v>2</v>
      </c>
      <c r="BC135" t="s">
        <v>274</v>
      </c>
      <c r="BD135">
        <v>2</v>
      </c>
      <c r="BE135">
        <v>8</v>
      </c>
      <c r="BF135">
        <v>48</v>
      </c>
      <c r="BG135" t="s">
        <v>306</v>
      </c>
      <c r="BH135" t="s">
        <v>281</v>
      </c>
      <c r="BI135">
        <v>1.8</v>
      </c>
      <c r="BJ135">
        <v>2.4</v>
      </c>
      <c r="BK135">
        <v>8.8000000000000007</v>
      </c>
      <c r="BL135">
        <v>2.2000000000000002</v>
      </c>
    </row>
    <row r="136" spans="1:64" x14ac:dyDescent="0.25">
      <c r="A136" t="s">
        <v>400</v>
      </c>
      <c r="B136">
        <v>46</v>
      </c>
      <c r="C136" t="s">
        <v>382</v>
      </c>
      <c r="D136" t="s">
        <v>66</v>
      </c>
      <c r="E136" t="s">
        <v>67</v>
      </c>
      <c r="F136" t="s">
        <v>68</v>
      </c>
      <c r="G136" t="s">
        <v>69</v>
      </c>
      <c r="H136" t="s">
        <v>279</v>
      </c>
      <c r="I136" t="s">
        <v>166</v>
      </c>
      <c r="J136" t="s">
        <v>285</v>
      </c>
      <c r="K136" t="s">
        <v>290</v>
      </c>
      <c r="L136">
        <v>3</v>
      </c>
      <c r="M136">
        <v>12</v>
      </c>
      <c r="N136" t="s">
        <v>135</v>
      </c>
      <c r="O136" t="s">
        <v>75</v>
      </c>
      <c r="P136" t="s">
        <v>273</v>
      </c>
      <c r="Q136" t="s">
        <v>295</v>
      </c>
      <c r="R136" t="s">
        <v>274</v>
      </c>
      <c r="S136" t="s">
        <v>111</v>
      </c>
      <c r="T136" t="s">
        <v>274</v>
      </c>
      <c r="U136" t="s">
        <v>80</v>
      </c>
      <c r="V136" t="s">
        <v>274</v>
      </c>
      <c r="W136" t="s">
        <v>274</v>
      </c>
      <c r="X136" t="s">
        <v>296</v>
      </c>
      <c r="Y136">
        <v>7</v>
      </c>
      <c r="Z136">
        <v>8</v>
      </c>
      <c r="AA136" t="s">
        <v>266</v>
      </c>
      <c r="AB136" t="s">
        <v>275</v>
      </c>
      <c r="AC136">
        <v>8.5</v>
      </c>
      <c r="AD136">
        <v>4</v>
      </c>
      <c r="AE136">
        <v>2</v>
      </c>
      <c r="AF136">
        <v>4</v>
      </c>
      <c r="AG136">
        <v>3</v>
      </c>
      <c r="AH136">
        <v>3</v>
      </c>
      <c r="AI136" t="s">
        <v>111</v>
      </c>
      <c r="AJ136" t="s">
        <v>274</v>
      </c>
      <c r="AK136">
        <v>28</v>
      </c>
      <c r="AL136">
        <v>70</v>
      </c>
      <c r="AM136" t="s">
        <v>85</v>
      </c>
      <c r="AN136" t="s">
        <v>274</v>
      </c>
      <c r="AO136" t="s">
        <v>111</v>
      </c>
      <c r="AP136" t="s">
        <v>274</v>
      </c>
      <c r="AQ136">
        <v>7</v>
      </c>
      <c r="AR136">
        <v>6</v>
      </c>
      <c r="AS136">
        <v>7</v>
      </c>
      <c r="AT136" t="s">
        <v>266</v>
      </c>
      <c r="AU136">
        <v>40</v>
      </c>
      <c r="AV136" t="s">
        <v>274</v>
      </c>
      <c r="AW136" t="s">
        <v>274</v>
      </c>
      <c r="AX136">
        <v>3</v>
      </c>
      <c r="AY136" t="s">
        <v>274</v>
      </c>
      <c r="AZ136" t="s">
        <v>274</v>
      </c>
      <c r="BA136">
        <v>3</v>
      </c>
      <c r="BB136">
        <v>3</v>
      </c>
      <c r="BC136" t="s">
        <v>274</v>
      </c>
      <c r="BD136">
        <v>3</v>
      </c>
      <c r="BE136">
        <v>6</v>
      </c>
      <c r="BF136">
        <v>30</v>
      </c>
      <c r="BG136" t="s">
        <v>86</v>
      </c>
      <c r="BH136" t="s">
        <v>281</v>
      </c>
      <c r="BI136">
        <v>3</v>
      </c>
      <c r="BJ136">
        <v>3.6</v>
      </c>
      <c r="BK136">
        <v>7.2</v>
      </c>
      <c r="BL136">
        <v>3.8</v>
      </c>
    </row>
    <row r="137" spans="1:64" x14ac:dyDescent="0.25">
      <c r="A137" t="s">
        <v>401</v>
      </c>
      <c r="B137">
        <v>38</v>
      </c>
      <c r="C137" t="s">
        <v>382</v>
      </c>
      <c r="D137" t="s">
        <v>89</v>
      </c>
      <c r="E137" t="s">
        <v>107</v>
      </c>
      <c r="F137" t="s">
        <v>204</v>
      </c>
      <c r="G137" t="s">
        <v>205</v>
      </c>
      <c r="H137" t="s">
        <v>279</v>
      </c>
      <c r="I137" t="s">
        <v>166</v>
      </c>
      <c r="J137" t="s">
        <v>315</v>
      </c>
      <c r="K137" t="s">
        <v>290</v>
      </c>
      <c r="L137">
        <v>2.5</v>
      </c>
      <c r="M137">
        <v>11</v>
      </c>
      <c r="N137" t="s">
        <v>135</v>
      </c>
      <c r="O137" t="s">
        <v>272</v>
      </c>
      <c r="P137" t="s">
        <v>273</v>
      </c>
      <c r="Q137" t="s">
        <v>295</v>
      </c>
      <c r="R137" t="s">
        <v>274</v>
      </c>
      <c r="S137" t="s">
        <v>274</v>
      </c>
      <c r="T137" t="s">
        <v>274</v>
      </c>
      <c r="U137" t="s">
        <v>286</v>
      </c>
      <c r="V137" t="s">
        <v>274</v>
      </c>
      <c r="W137" t="s">
        <v>274</v>
      </c>
      <c r="X137" t="s">
        <v>280</v>
      </c>
      <c r="Y137">
        <v>6.5</v>
      </c>
      <c r="Z137">
        <v>8</v>
      </c>
      <c r="AA137" t="s">
        <v>266</v>
      </c>
      <c r="AB137" t="s">
        <v>275</v>
      </c>
      <c r="AC137">
        <v>9.5</v>
      </c>
      <c r="AD137">
        <v>3</v>
      </c>
      <c r="AE137">
        <v>2</v>
      </c>
      <c r="AF137">
        <v>3</v>
      </c>
      <c r="AG137">
        <v>2</v>
      </c>
      <c r="AH137">
        <v>2</v>
      </c>
      <c r="AI137" t="s">
        <v>274</v>
      </c>
      <c r="AJ137" t="s">
        <v>274</v>
      </c>
      <c r="AK137">
        <v>38</v>
      </c>
      <c r="AL137">
        <v>95</v>
      </c>
      <c r="AM137" t="s">
        <v>85</v>
      </c>
      <c r="AN137" t="s">
        <v>274</v>
      </c>
      <c r="AO137" t="s">
        <v>274</v>
      </c>
      <c r="AP137" t="s">
        <v>274</v>
      </c>
      <c r="AQ137">
        <v>9</v>
      </c>
      <c r="AR137">
        <v>8</v>
      </c>
      <c r="AS137">
        <v>9</v>
      </c>
      <c r="AT137" t="s">
        <v>266</v>
      </c>
      <c r="AU137">
        <v>55</v>
      </c>
      <c r="AV137" t="s">
        <v>274</v>
      </c>
      <c r="AW137" t="s">
        <v>274</v>
      </c>
      <c r="AX137">
        <v>2</v>
      </c>
      <c r="AY137" t="s">
        <v>83</v>
      </c>
      <c r="AZ137" t="s">
        <v>274</v>
      </c>
      <c r="BA137">
        <v>2</v>
      </c>
      <c r="BB137">
        <v>2</v>
      </c>
      <c r="BC137" t="s">
        <v>274</v>
      </c>
      <c r="BD137">
        <v>2</v>
      </c>
      <c r="BE137">
        <v>8</v>
      </c>
      <c r="BF137">
        <v>45</v>
      </c>
      <c r="BG137" t="s">
        <v>306</v>
      </c>
      <c r="BH137" t="s">
        <v>281</v>
      </c>
      <c r="BI137">
        <v>1.8</v>
      </c>
      <c r="BJ137">
        <v>2.4</v>
      </c>
      <c r="BK137">
        <v>8.8000000000000007</v>
      </c>
      <c r="BL137">
        <v>2.2000000000000002</v>
      </c>
    </row>
    <row r="138" spans="1:64" x14ac:dyDescent="0.25">
      <c r="A138" t="s">
        <v>402</v>
      </c>
      <c r="B138">
        <v>43</v>
      </c>
      <c r="C138" t="s">
        <v>382</v>
      </c>
      <c r="D138" t="s">
        <v>66</v>
      </c>
      <c r="E138" t="s">
        <v>97</v>
      </c>
      <c r="F138" t="s">
        <v>138</v>
      </c>
      <c r="G138" t="s">
        <v>139</v>
      </c>
      <c r="H138" t="s">
        <v>124</v>
      </c>
      <c r="I138" t="s">
        <v>166</v>
      </c>
      <c r="J138" t="s">
        <v>72</v>
      </c>
      <c r="K138" t="s">
        <v>290</v>
      </c>
      <c r="L138">
        <v>3.5</v>
      </c>
      <c r="M138">
        <v>9</v>
      </c>
      <c r="N138" t="s">
        <v>135</v>
      </c>
      <c r="O138" t="s">
        <v>75</v>
      </c>
      <c r="P138" t="s">
        <v>273</v>
      </c>
      <c r="Q138" t="s">
        <v>101</v>
      </c>
      <c r="R138" t="s">
        <v>111</v>
      </c>
      <c r="S138" t="s">
        <v>111</v>
      </c>
      <c r="T138" t="s">
        <v>274</v>
      </c>
      <c r="U138" t="s">
        <v>80</v>
      </c>
      <c r="V138" t="s">
        <v>274</v>
      </c>
      <c r="W138" t="s">
        <v>111</v>
      </c>
      <c r="X138" t="s">
        <v>300</v>
      </c>
      <c r="Y138">
        <v>7.5</v>
      </c>
      <c r="Z138">
        <v>7.5</v>
      </c>
      <c r="AA138" t="s">
        <v>266</v>
      </c>
      <c r="AB138" t="s">
        <v>275</v>
      </c>
      <c r="AC138">
        <v>8.5</v>
      </c>
      <c r="AD138">
        <v>4</v>
      </c>
      <c r="AE138">
        <v>2</v>
      </c>
      <c r="AF138">
        <v>4</v>
      </c>
      <c r="AG138">
        <v>4</v>
      </c>
      <c r="AH138">
        <v>3</v>
      </c>
      <c r="AI138" t="s">
        <v>111</v>
      </c>
      <c r="AJ138" t="s">
        <v>274</v>
      </c>
      <c r="AK138">
        <v>26</v>
      </c>
      <c r="AL138">
        <v>65</v>
      </c>
      <c r="AM138" t="s">
        <v>85</v>
      </c>
      <c r="AN138" t="s">
        <v>274</v>
      </c>
      <c r="AO138" t="s">
        <v>111</v>
      </c>
      <c r="AP138" t="s">
        <v>274</v>
      </c>
      <c r="AQ138">
        <v>7</v>
      </c>
      <c r="AR138">
        <v>6</v>
      </c>
      <c r="AS138">
        <v>7</v>
      </c>
      <c r="AT138" t="s">
        <v>266</v>
      </c>
      <c r="AU138">
        <v>38</v>
      </c>
      <c r="AV138" t="s">
        <v>274</v>
      </c>
      <c r="AW138" t="s">
        <v>274</v>
      </c>
      <c r="AX138">
        <v>3</v>
      </c>
      <c r="AY138" t="s">
        <v>274</v>
      </c>
      <c r="AZ138" t="s">
        <v>274</v>
      </c>
      <c r="BA138">
        <v>3</v>
      </c>
      <c r="BB138">
        <v>3</v>
      </c>
      <c r="BC138" t="s">
        <v>274</v>
      </c>
      <c r="BD138">
        <v>3</v>
      </c>
      <c r="BE138">
        <v>6</v>
      </c>
      <c r="BF138">
        <v>28</v>
      </c>
      <c r="BG138" t="s">
        <v>86</v>
      </c>
      <c r="BH138" t="s">
        <v>281</v>
      </c>
      <c r="BI138">
        <v>3.2</v>
      </c>
      <c r="BJ138">
        <v>3.8</v>
      </c>
      <c r="BK138">
        <v>7</v>
      </c>
      <c r="BL138">
        <v>4</v>
      </c>
    </row>
    <row r="139" spans="1:64" x14ac:dyDescent="0.25">
      <c r="A139" t="s">
        <v>403</v>
      </c>
      <c r="B139">
        <v>49</v>
      </c>
      <c r="C139" t="s">
        <v>382</v>
      </c>
      <c r="D139" t="s">
        <v>89</v>
      </c>
      <c r="E139" t="s">
        <v>114</v>
      </c>
      <c r="F139" t="s">
        <v>173</v>
      </c>
      <c r="G139" t="s">
        <v>174</v>
      </c>
      <c r="H139" t="s">
        <v>124</v>
      </c>
      <c r="I139" t="s">
        <v>166</v>
      </c>
      <c r="J139" t="s">
        <v>264</v>
      </c>
      <c r="K139" t="s">
        <v>290</v>
      </c>
      <c r="L139">
        <v>2.5</v>
      </c>
      <c r="M139">
        <v>12</v>
      </c>
      <c r="N139" t="s">
        <v>135</v>
      </c>
      <c r="O139" t="s">
        <v>272</v>
      </c>
      <c r="P139" t="s">
        <v>273</v>
      </c>
      <c r="Q139" t="s">
        <v>295</v>
      </c>
      <c r="R139" t="s">
        <v>274</v>
      </c>
      <c r="S139" t="s">
        <v>111</v>
      </c>
      <c r="T139" t="s">
        <v>274</v>
      </c>
      <c r="U139" t="s">
        <v>80</v>
      </c>
      <c r="V139" t="s">
        <v>274</v>
      </c>
      <c r="W139" t="s">
        <v>274</v>
      </c>
      <c r="X139" t="s">
        <v>388</v>
      </c>
      <c r="Y139">
        <v>6.5</v>
      </c>
      <c r="Z139">
        <v>8</v>
      </c>
      <c r="AA139" t="s">
        <v>266</v>
      </c>
      <c r="AB139" t="s">
        <v>275</v>
      </c>
      <c r="AC139">
        <v>9</v>
      </c>
      <c r="AD139">
        <v>3</v>
      </c>
      <c r="AE139">
        <v>2</v>
      </c>
      <c r="AF139">
        <v>3</v>
      </c>
      <c r="AG139">
        <v>3</v>
      </c>
      <c r="AH139">
        <v>2</v>
      </c>
      <c r="AI139" t="s">
        <v>274</v>
      </c>
      <c r="AJ139" t="s">
        <v>274</v>
      </c>
      <c r="AK139">
        <v>35</v>
      </c>
      <c r="AL139">
        <v>88</v>
      </c>
      <c r="AM139" t="s">
        <v>85</v>
      </c>
      <c r="AN139" t="s">
        <v>274</v>
      </c>
      <c r="AO139" t="s">
        <v>274</v>
      </c>
      <c r="AP139" t="s">
        <v>274</v>
      </c>
      <c r="AQ139">
        <v>8</v>
      </c>
      <c r="AR139">
        <v>7</v>
      </c>
      <c r="AS139">
        <v>8</v>
      </c>
      <c r="AT139" t="s">
        <v>266</v>
      </c>
      <c r="AU139">
        <v>50</v>
      </c>
      <c r="AV139" t="s">
        <v>274</v>
      </c>
      <c r="AW139" t="s">
        <v>274</v>
      </c>
      <c r="AX139">
        <v>2</v>
      </c>
      <c r="AY139" t="s">
        <v>274</v>
      </c>
      <c r="AZ139" t="s">
        <v>274</v>
      </c>
      <c r="BA139">
        <v>2</v>
      </c>
      <c r="BB139">
        <v>2</v>
      </c>
      <c r="BC139" t="s">
        <v>274</v>
      </c>
      <c r="BD139">
        <v>2</v>
      </c>
      <c r="BE139">
        <v>7</v>
      </c>
      <c r="BF139">
        <v>40</v>
      </c>
      <c r="BG139" t="s">
        <v>86</v>
      </c>
      <c r="BH139" t="s">
        <v>281</v>
      </c>
      <c r="BI139">
        <v>2.5</v>
      </c>
      <c r="BJ139">
        <v>3</v>
      </c>
      <c r="BK139">
        <v>8</v>
      </c>
      <c r="BL139">
        <v>3</v>
      </c>
    </row>
    <row r="140" spans="1:64" x14ac:dyDescent="0.25">
      <c r="A140" t="s">
        <v>404</v>
      </c>
      <c r="B140">
        <v>37</v>
      </c>
      <c r="C140" t="s">
        <v>382</v>
      </c>
      <c r="D140" t="s">
        <v>66</v>
      </c>
      <c r="E140" t="s">
        <v>90</v>
      </c>
      <c r="F140" t="s">
        <v>240</v>
      </c>
      <c r="G140" t="s">
        <v>241</v>
      </c>
      <c r="H140" t="s">
        <v>279</v>
      </c>
      <c r="I140" t="s">
        <v>166</v>
      </c>
      <c r="J140" t="s">
        <v>242</v>
      </c>
      <c r="K140" t="s">
        <v>290</v>
      </c>
      <c r="L140">
        <v>3</v>
      </c>
      <c r="M140">
        <v>9</v>
      </c>
      <c r="N140" t="s">
        <v>74</v>
      </c>
      <c r="O140" t="s">
        <v>135</v>
      </c>
      <c r="P140" t="s">
        <v>273</v>
      </c>
      <c r="Q140" t="s">
        <v>101</v>
      </c>
      <c r="R140" t="s">
        <v>111</v>
      </c>
      <c r="S140" t="s">
        <v>111</v>
      </c>
      <c r="T140" t="s">
        <v>274</v>
      </c>
      <c r="U140" t="s">
        <v>80</v>
      </c>
      <c r="V140" t="s">
        <v>274</v>
      </c>
      <c r="W140" t="s">
        <v>111</v>
      </c>
      <c r="X140" t="s">
        <v>390</v>
      </c>
      <c r="Y140">
        <v>7</v>
      </c>
      <c r="Z140">
        <v>8</v>
      </c>
      <c r="AA140" t="s">
        <v>266</v>
      </c>
      <c r="AB140" t="s">
        <v>275</v>
      </c>
      <c r="AC140">
        <v>9</v>
      </c>
      <c r="AD140">
        <v>4</v>
      </c>
      <c r="AE140">
        <v>2</v>
      </c>
      <c r="AF140">
        <v>4</v>
      </c>
      <c r="AG140">
        <v>3</v>
      </c>
      <c r="AH140">
        <v>3</v>
      </c>
      <c r="AI140" t="s">
        <v>111</v>
      </c>
      <c r="AJ140" t="s">
        <v>274</v>
      </c>
      <c r="AK140">
        <v>28</v>
      </c>
      <c r="AL140">
        <v>70</v>
      </c>
      <c r="AM140" t="s">
        <v>85</v>
      </c>
      <c r="AN140" t="s">
        <v>274</v>
      </c>
      <c r="AO140" t="s">
        <v>111</v>
      </c>
      <c r="AP140" t="s">
        <v>274</v>
      </c>
      <c r="AQ140">
        <v>7</v>
      </c>
      <c r="AR140">
        <v>6</v>
      </c>
      <c r="AS140">
        <v>7</v>
      </c>
      <c r="AT140" t="s">
        <v>266</v>
      </c>
      <c r="AU140">
        <v>40</v>
      </c>
      <c r="AV140" t="s">
        <v>274</v>
      </c>
      <c r="AW140" t="s">
        <v>274</v>
      </c>
      <c r="AX140">
        <v>3</v>
      </c>
      <c r="AY140" t="s">
        <v>274</v>
      </c>
      <c r="AZ140" t="s">
        <v>274</v>
      </c>
      <c r="BA140">
        <v>3</v>
      </c>
      <c r="BB140">
        <v>3</v>
      </c>
      <c r="BC140" t="s">
        <v>274</v>
      </c>
      <c r="BD140">
        <v>3</v>
      </c>
      <c r="BE140">
        <v>6</v>
      </c>
      <c r="BF140">
        <v>28</v>
      </c>
      <c r="BG140" t="s">
        <v>86</v>
      </c>
      <c r="BH140" t="s">
        <v>281</v>
      </c>
      <c r="BI140">
        <v>3</v>
      </c>
      <c r="BJ140">
        <v>3.6</v>
      </c>
      <c r="BK140">
        <v>7.2</v>
      </c>
      <c r="BL140">
        <v>3.8</v>
      </c>
    </row>
    <row r="141" spans="1:64" x14ac:dyDescent="0.25">
      <c r="A141" t="s">
        <v>405</v>
      </c>
      <c r="B141">
        <v>44</v>
      </c>
      <c r="C141" t="s">
        <v>382</v>
      </c>
      <c r="D141" t="s">
        <v>89</v>
      </c>
      <c r="E141" t="s">
        <v>67</v>
      </c>
      <c r="F141" t="s">
        <v>119</v>
      </c>
      <c r="G141" t="s">
        <v>120</v>
      </c>
      <c r="H141" t="s">
        <v>279</v>
      </c>
      <c r="I141" t="s">
        <v>166</v>
      </c>
      <c r="J141" t="s">
        <v>289</v>
      </c>
      <c r="K141" t="s">
        <v>290</v>
      </c>
      <c r="L141">
        <v>2.5</v>
      </c>
      <c r="M141">
        <v>11</v>
      </c>
      <c r="N141" t="s">
        <v>75</v>
      </c>
      <c r="O141" t="s">
        <v>272</v>
      </c>
      <c r="P141" t="s">
        <v>273</v>
      </c>
      <c r="Q141" t="s">
        <v>295</v>
      </c>
      <c r="R141" t="s">
        <v>274</v>
      </c>
      <c r="S141" t="s">
        <v>274</v>
      </c>
      <c r="T141" t="s">
        <v>274</v>
      </c>
      <c r="U141" t="s">
        <v>286</v>
      </c>
      <c r="V141" t="s">
        <v>274</v>
      </c>
      <c r="W141" t="s">
        <v>274</v>
      </c>
      <c r="X141" t="s">
        <v>313</v>
      </c>
      <c r="Y141">
        <v>6.5</v>
      </c>
      <c r="Z141">
        <v>8</v>
      </c>
      <c r="AA141" t="s">
        <v>266</v>
      </c>
      <c r="AB141" t="s">
        <v>78</v>
      </c>
      <c r="AC141">
        <v>9.5</v>
      </c>
      <c r="AD141">
        <v>3</v>
      </c>
      <c r="AE141">
        <v>2</v>
      </c>
      <c r="AF141">
        <v>3</v>
      </c>
      <c r="AG141">
        <v>2</v>
      </c>
      <c r="AH141">
        <v>2</v>
      </c>
      <c r="AI141" t="s">
        <v>274</v>
      </c>
      <c r="AJ141" t="s">
        <v>274</v>
      </c>
      <c r="AK141">
        <v>38</v>
      </c>
      <c r="AL141">
        <v>95</v>
      </c>
      <c r="AM141" t="s">
        <v>85</v>
      </c>
      <c r="AN141" t="s">
        <v>274</v>
      </c>
      <c r="AO141" t="s">
        <v>274</v>
      </c>
      <c r="AP141" t="s">
        <v>274</v>
      </c>
      <c r="AQ141">
        <v>9</v>
      </c>
      <c r="AR141">
        <v>8</v>
      </c>
      <c r="AS141">
        <v>9</v>
      </c>
      <c r="AT141" t="s">
        <v>266</v>
      </c>
      <c r="AU141">
        <v>55</v>
      </c>
      <c r="AV141" t="s">
        <v>274</v>
      </c>
      <c r="AW141" t="s">
        <v>274</v>
      </c>
      <c r="AX141">
        <v>2</v>
      </c>
      <c r="AY141" t="s">
        <v>83</v>
      </c>
      <c r="AZ141" t="s">
        <v>274</v>
      </c>
      <c r="BA141">
        <v>2</v>
      </c>
      <c r="BB141">
        <v>2</v>
      </c>
      <c r="BC141" t="s">
        <v>274</v>
      </c>
      <c r="BD141">
        <v>2</v>
      </c>
      <c r="BE141">
        <v>8</v>
      </c>
      <c r="BF141">
        <v>48</v>
      </c>
      <c r="BG141" t="s">
        <v>306</v>
      </c>
      <c r="BH141" t="s">
        <v>281</v>
      </c>
      <c r="BI141">
        <v>1.8</v>
      </c>
      <c r="BJ141">
        <v>2.4</v>
      </c>
      <c r="BK141">
        <v>8.8000000000000007</v>
      </c>
      <c r="BL141">
        <v>2.2000000000000002</v>
      </c>
    </row>
    <row r="142" spans="1:64" x14ac:dyDescent="0.25">
      <c r="A142" t="s">
        <v>406</v>
      </c>
      <c r="B142">
        <v>39</v>
      </c>
      <c r="C142" t="s">
        <v>382</v>
      </c>
      <c r="D142" t="s">
        <v>66</v>
      </c>
      <c r="E142" t="s">
        <v>107</v>
      </c>
      <c r="F142" t="s">
        <v>160</v>
      </c>
      <c r="G142" t="s">
        <v>161</v>
      </c>
      <c r="H142" t="s">
        <v>279</v>
      </c>
      <c r="I142" t="s">
        <v>166</v>
      </c>
      <c r="J142" t="s">
        <v>311</v>
      </c>
      <c r="K142" t="s">
        <v>290</v>
      </c>
      <c r="L142">
        <v>2</v>
      </c>
      <c r="M142">
        <v>11</v>
      </c>
      <c r="N142" t="s">
        <v>130</v>
      </c>
      <c r="O142" t="s">
        <v>272</v>
      </c>
      <c r="P142" t="s">
        <v>273</v>
      </c>
      <c r="Q142" t="s">
        <v>295</v>
      </c>
      <c r="R142" t="s">
        <v>274</v>
      </c>
      <c r="S142" t="s">
        <v>274</v>
      </c>
      <c r="T142" t="s">
        <v>274</v>
      </c>
      <c r="U142" t="s">
        <v>286</v>
      </c>
      <c r="V142" t="s">
        <v>274</v>
      </c>
      <c r="W142" t="s">
        <v>274</v>
      </c>
      <c r="X142" t="s">
        <v>335</v>
      </c>
      <c r="Y142">
        <v>6</v>
      </c>
      <c r="Z142">
        <v>8.5</v>
      </c>
      <c r="AA142" t="s">
        <v>336</v>
      </c>
      <c r="AB142" t="s">
        <v>78</v>
      </c>
      <c r="AC142">
        <v>9.5</v>
      </c>
      <c r="AD142">
        <v>3</v>
      </c>
      <c r="AE142">
        <v>1</v>
      </c>
      <c r="AF142">
        <v>3</v>
      </c>
      <c r="AG142">
        <v>2</v>
      </c>
      <c r="AH142">
        <v>2</v>
      </c>
      <c r="AI142" t="s">
        <v>274</v>
      </c>
      <c r="AJ142" t="s">
        <v>274</v>
      </c>
      <c r="AK142">
        <v>40</v>
      </c>
      <c r="AL142">
        <v>100</v>
      </c>
      <c r="AM142" t="s">
        <v>85</v>
      </c>
      <c r="AN142" t="s">
        <v>274</v>
      </c>
      <c r="AO142" t="s">
        <v>274</v>
      </c>
      <c r="AP142" t="s">
        <v>274</v>
      </c>
      <c r="AQ142">
        <v>9</v>
      </c>
      <c r="AR142">
        <v>8</v>
      </c>
      <c r="AS142">
        <v>9</v>
      </c>
      <c r="AT142" t="s">
        <v>336</v>
      </c>
      <c r="AU142">
        <v>58</v>
      </c>
      <c r="AV142" t="s">
        <v>274</v>
      </c>
      <c r="AW142" t="s">
        <v>274</v>
      </c>
      <c r="AX142">
        <v>2</v>
      </c>
      <c r="AY142" t="s">
        <v>83</v>
      </c>
      <c r="AZ142" t="s">
        <v>274</v>
      </c>
      <c r="BA142">
        <v>2</v>
      </c>
      <c r="BB142">
        <v>2</v>
      </c>
      <c r="BC142" t="s">
        <v>274</v>
      </c>
      <c r="BD142">
        <v>2</v>
      </c>
      <c r="BE142">
        <v>8</v>
      </c>
      <c r="BF142">
        <v>50</v>
      </c>
      <c r="BG142" t="s">
        <v>306</v>
      </c>
      <c r="BH142" t="s">
        <v>281</v>
      </c>
      <c r="BI142">
        <v>1.5</v>
      </c>
      <c r="BJ142">
        <v>2</v>
      </c>
      <c r="BK142">
        <v>9.1999999999999993</v>
      </c>
      <c r="BL142">
        <v>2</v>
      </c>
    </row>
    <row r="143" spans="1:64" x14ac:dyDescent="0.25">
      <c r="A143" t="s">
        <v>407</v>
      </c>
      <c r="B143">
        <v>48</v>
      </c>
      <c r="C143" t="s">
        <v>382</v>
      </c>
      <c r="D143" t="s">
        <v>89</v>
      </c>
      <c r="E143" t="s">
        <v>97</v>
      </c>
      <c r="F143" t="s">
        <v>181</v>
      </c>
      <c r="G143" t="s">
        <v>182</v>
      </c>
      <c r="H143" t="s">
        <v>124</v>
      </c>
      <c r="I143" t="s">
        <v>166</v>
      </c>
      <c r="J143" t="s">
        <v>315</v>
      </c>
      <c r="K143" t="s">
        <v>290</v>
      </c>
      <c r="L143">
        <v>2.5</v>
      </c>
      <c r="M143">
        <v>10</v>
      </c>
      <c r="N143" t="s">
        <v>135</v>
      </c>
      <c r="O143" t="s">
        <v>272</v>
      </c>
      <c r="P143" t="s">
        <v>273</v>
      </c>
      <c r="Q143" t="s">
        <v>295</v>
      </c>
      <c r="R143" t="s">
        <v>274</v>
      </c>
      <c r="S143" t="s">
        <v>111</v>
      </c>
      <c r="T143" t="s">
        <v>274</v>
      </c>
      <c r="U143" t="s">
        <v>80</v>
      </c>
      <c r="V143" t="s">
        <v>274</v>
      </c>
      <c r="W143" t="s">
        <v>274</v>
      </c>
      <c r="X143" t="s">
        <v>280</v>
      </c>
      <c r="Y143">
        <v>6.5</v>
      </c>
      <c r="Z143">
        <v>8</v>
      </c>
      <c r="AA143" t="s">
        <v>266</v>
      </c>
      <c r="AB143" t="s">
        <v>275</v>
      </c>
      <c r="AC143">
        <v>9</v>
      </c>
      <c r="AD143">
        <v>3</v>
      </c>
      <c r="AE143">
        <v>2</v>
      </c>
      <c r="AF143">
        <v>3</v>
      </c>
      <c r="AG143">
        <v>3</v>
      </c>
      <c r="AH143">
        <v>2</v>
      </c>
      <c r="AI143" t="s">
        <v>274</v>
      </c>
      <c r="AJ143" t="s">
        <v>274</v>
      </c>
      <c r="AK143">
        <v>35</v>
      </c>
      <c r="AL143">
        <v>88</v>
      </c>
      <c r="AM143" t="s">
        <v>85</v>
      </c>
      <c r="AN143" t="s">
        <v>274</v>
      </c>
      <c r="AO143" t="s">
        <v>274</v>
      </c>
      <c r="AP143" t="s">
        <v>274</v>
      </c>
      <c r="AQ143">
        <v>8</v>
      </c>
      <c r="AR143">
        <v>7</v>
      </c>
      <c r="AS143">
        <v>8</v>
      </c>
      <c r="AT143" t="s">
        <v>266</v>
      </c>
      <c r="AU143">
        <v>50</v>
      </c>
      <c r="AV143" t="s">
        <v>274</v>
      </c>
      <c r="AW143" t="s">
        <v>274</v>
      </c>
      <c r="AX143">
        <v>2</v>
      </c>
      <c r="AY143" t="s">
        <v>274</v>
      </c>
      <c r="AZ143" t="s">
        <v>274</v>
      </c>
      <c r="BA143">
        <v>2</v>
      </c>
      <c r="BB143">
        <v>2</v>
      </c>
      <c r="BC143" t="s">
        <v>274</v>
      </c>
      <c r="BD143">
        <v>2</v>
      </c>
      <c r="BE143">
        <v>7</v>
      </c>
      <c r="BF143">
        <v>40</v>
      </c>
      <c r="BG143" t="s">
        <v>86</v>
      </c>
      <c r="BH143" t="s">
        <v>281</v>
      </c>
      <c r="BI143">
        <v>2.5</v>
      </c>
      <c r="BJ143">
        <v>3</v>
      </c>
      <c r="BK143">
        <v>8</v>
      </c>
      <c r="BL143">
        <v>3</v>
      </c>
    </row>
    <row r="144" spans="1:64" x14ac:dyDescent="0.25">
      <c r="A144" t="s">
        <v>408</v>
      </c>
      <c r="B144">
        <v>36</v>
      </c>
      <c r="C144" t="s">
        <v>382</v>
      </c>
      <c r="D144" t="s">
        <v>66</v>
      </c>
      <c r="E144" t="s">
        <v>114</v>
      </c>
      <c r="F144" t="s">
        <v>184</v>
      </c>
      <c r="G144" t="s">
        <v>185</v>
      </c>
      <c r="H144" t="s">
        <v>279</v>
      </c>
      <c r="I144" t="s">
        <v>166</v>
      </c>
      <c r="J144" t="s">
        <v>193</v>
      </c>
      <c r="K144" t="s">
        <v>290</v>
      </c>
      <c r="L144">
        <v>4</v>
      </c>
      <c r="M144">
        <v>9</v>
      </c>
      <c r="N144" t="s">
        <v>74</v>
      </c>
      <c r="O144" t="s">
        <v>93</v>
      </c>
      <c r="P144" t="s">
        <v>100</v>
      </c>
      <c r="Q144" t="s">
        <v>101</v>
      </c>
      <c r="R144" t="s">
        <v>111</v>
      </c>
      <c r="S144" t="s">
        <v>111</v>
      </c>
      <c r="T144" t="s">
        <v>111</v>
      </c>
      <c r="U144" t="s">
        <v>80</v>
      </c>
      <c r="V144" t="s">
        <v>111</v>
      </c>
      <c r="W144" t="s">
        <v>111</v>
      </c>
      <c r="X144" t="s">
        <v>409</v>
      </c>
      <c r="Y144">
        <v>8</v>
      </c>
      <c r="Z144">
        <v>7.5</v>
      </c>
      <c r="AA144" t="s">
        <v>266</v>
      </c>
      <c r="AB144" t="s">
        <v>103</v>
      </c>
      <c r="AC144">
        <v>8.5</v>
      </c>
      <c r="AD144">
        <v>5</v>
      </c>
      <c r="AE144">
        <v>2</v>
      </c>
      <c r="AF144">
        <v>5</v>
      </c>
      <c r="AG144">
        <v>5</v>
      </c>
      <c r="AH144">
        <v>4</v>
      </c>
      <c r="AI144" t="s">
        <v>111</v>
      </c>
      <c r="AJ144" t="s">
        <v>111</v>
      </c>
      <c r="AK144">
        <v>22</v>
      </c>
      <c r="AL144">
        <v>55</v>
      </c>
      <c r="AM144" t="s">
        <v>131</v>
      </c>
      <c r="AN144" t="s">
        <v>111</v>
      </c>
      <c r="AO144" t="s">
        <v>111</v>
      </c>
      <c r="AP144" t="s">
        <v>274</v>
      </c>
      <c r="AQ144">
        <v>5</v>
      </c>
      <c r="AR144">
        <v>5</v>
      </c>
      <c r="AS144">
        <v>5</v>
      </c>
      <c r="AT144" t="s">
        <v>131</v>
      </c>
      <c r="AU144">
        <v>28</v>
      </c>
      <c r="AV144" t="s">
        <v>111</v>
      </c>
      <c r="AW144" t="s">
        <v>111</v>
      </c>
      <c r="AX144">
        <v>4</v>
      </c>
      <c r="AY144" t="s">
        <v>111</v>
      </c>
      <c r="AZ144" t="s">
        <v>111</v>
      </c>
      <c r="BA144">
        <v>4</v>
      </c>
      <c r="BB144">
        <v>4</v>
      </c>
      <c r="BC144" t="s">
        <v>111</v>
      </c>
      <c r="BD144">
        <v>4</v>
      </c>
      <c r="BE144">
        <v>5</v>
      </c>
      <c r="BF144">
        <v>20</v>
      </c>
      <c r="BG144" t="s">
        <v>152</v>
      </c>
      <c r="BH144" t="s">
        <v>171</v>
      </c>
      <c r="BI144">
        <v>4.8</v>
      </c>
      <c r="BJ144">
        <v>5.4</v>
      </c>
      <c r="BK144">
        <v>5.4</v>
      </c>
      <c r="BL144">
        <v>5.8</v>
      </c>
    </row>
    <row r="145" spans="1:64" x14ac:dyDescent="0.25">
      <c r="A145" t="s">
        <v>410</v>
      </c>
      <c r="B145">
        <v>42</v>
      </c>
      <c r="C145" t="s">
        <v>382</v>
      </c>
      <c r="D145" t="s">
        <v>89</v>
      </c>
      <c r="E145" t="s">
        <v>90</v>
      </c>
      <c r="F145" t="s">
        <v>253</v>
      </c>
      <c r="G145" t="s">
        <v>254</v>
      </c>
      <c r="H145" t="s">
        <v>124</v>
      </c>
      <c r="I145" t="s">
        <v>166</v>
      </c>
      <c r="J145" t="s">
        <v>264</v>
      </c>
      <c r="K145" t="s">
        <v>290</v>
      </c>
      <c r="L145">
        <v>3</v>
      </c>
      <c r="M145">
        <v>9</v>
      </c>
      <c r="N145" t="s">
        <v>74</v>
      </c>
      <c r="O145" t="s">
        <v>75</v>
      </c>
      <c r="P145" t="s">
        <v>273</v>
      </c>
      <c r="Q145" t="s">
        <v>101</v>
      </c>
      <c r="R145" t="s">
        <v>111</v>
      </c>
      <c r="S145" t="s">
        <v>111</v>
      </c>
      <c r="T145" t="s">
        <v>274</v>
      </c>
      <c r="U145" t="s">
        <v>80</v>
      </c>
      <c r="V145" t="s">
        <v>274</v>
      </c>
      <c r="W145" t="s">
        <v>111</v>
      </c>
      <c r="X145" t="s">
        <v>361</v>
      </c>
      <c r="Y145">
        <v>7</v>
      </c>
      <c r="Z145">
        <v>8</v>
      </c>
      <c r="AA145" t="s">
        <v>266</v>
      </c>
      <c r="AB145" t="s">
        <v>275</v>
      </c>
      <c r="AC145">
        <v>8.5</v>
      </c>
      <c r="AD145">
        <v>4</v>
      </c>
      <c r="AE145">
        <v>2</v>
      </c>
      <c r="AF145">
        <v>4</v>
      </c>
      <c r="AG145">
        <v>3</v>
      </c>
      <c r="AH145">
        <v>3</v>
      </c>
      <c r="AI145" t="s">
        <v>111</v>
      </c>
      <c r="AJ145" t="s">
        <v>274</v>
      </c>
      <c r="AK145">
        <v>28</v>
      </c>
      <c r="AL145">
        <v>70</v>
      </c>
      <c r="AM145" t="s">
        <v>85</v>
      </c>
      <c r="AN145" t="s">
        <v>274</v>
      </c>
      <c r="AO145" t="s">
        <v>111</v>
      </c>
      <c r="AP145" t="s">
        <v>274</v>
      </c>
      <c r="AQ145">
        <v>7</v>
      </c>
      <c r="AR145">
        <v>6</v>
      </c>
      <c r="AS145">
        <v>7</v>
      </c>
      <c r="AT145" t="s">
        <v>266</v>
      </c>
      <c r="AU145">
        <v>40</v>
      </c>
      <c r="AV145" t="s">
        <v>274</v>
      </c>
      <c r="AW145" t="s">
        <v>274</v>
      </c>
      <c r="AX145">
        <v>3</v>
      </c>
      <c r="AY145" t="s">
        <v>274</v>
      </c>
      <c r="AZ145" t="s">
        <v>274</v>
      </c>
      <c r="BA145">
        <v>3</v>
      </c>
      <c r="BB145">
        <v>3</v>
      </c>
      <c r="BC145" t="s">
        <v>274</v>
      </c>
      <c r="BD145">
        <v>3</v>
      </c>
      <c r="BE145">
        <v>6</v>
      </c>
      <c r="BF145">
        <v>28</v>
      </c>
      <c r="BG145" t="s">
        <v>86</v>
      </c>
      <c r="BH145" t="s">
        <v>281</v>
      </c>
      <c r="BI145">
        <v>3</v>
      </c>
      <c r="BJ145">
        <v>3.6</v>
      </c>
      <c r="BK145">
        <v>7.2</v>
      </c>
      <c r="BL145">
        <v>3.8</v>
      </c>
    </row>
    <row r="146" spans="1:64" x14ac:dyDescent="0.25">
      <c r="A146" t="s">
        <v>411</v>
      </c>
      <c r="B146">
        <v>46</v>
      </c>
      <c r="C146" t="s">
        <v>382</v>
      </c>
      <c r="D146" t="s">
        <v>66</v>
      </c>
      <c r="E146" t="s">
        <v>67</v>
      </c>
      <c r="F146" t="s">
        <v>187</v>
      </c>
      <c r="G146" t="s">
        <v>188</v>
      </c>
      <c r="H146" t="s">
        <v>124</v>
      </c>
      <c r="I146" t="s">
        <v>166</v>
      </c>
      <c r="J146" t="s">
        <v>285</v>
      </c>
      <c r="K146" t="s">
        <v>290</v>
      </c>
      <c r="L146">
        <v>3.5</v>
      </c>
      <c r="M146">
        <v>10</v>
      </c>
      <c r="N146" t="s">
        <v>135</v>
      </c>
      <c r="O146" t="s">
        <v>75</v>
      </c>
      <c r="P146" t="s">
        <v>273</v>
      </c>
      <c r="Q146" t="s">
        <v>101</v>
      </c>
      <c r="R146" t="s">
        <v>111</v>
      </c>
      <c r="S146" t="s">
        <v>111</v>
      </c>
      <c r="T146" t="s">
        <v>274</v>
      </c>
      <c r="U146" t="s">
        <v>80</v>
      </c>
      <c r="V146" t="s">
        <v>274</v>
      </c>
      <c r="W146" t="s">
        <v>111</v>
      </c>
      <c r="X146" t="s">
        <v>296</v>
      </c>
      <c r="Y146">
        <v>7.5</v>
      </c>
      <c r="Z146">
        <v>7.5</v>
      </c>
      <c r="AA146" t="s">
        <v>266</v>
      </c>
      <c r="AB146" t="s">
        <v>275</v>
      </c>
      <c r="AC146">
        <v>8.5</v>
      </c>
      <c r="AD146">
        <v>4</v>
      </c>
      <c r="AE146">
        <v>2</v>
      </c>
      <c r="AF146">
        <v>4</v>
      </c>
      <c r="AG146">
        <v>4</v>
      </c>
      <c r="AH146">
        <v>3</v>
      </c>
      <c r="AI146" t="s">
        <v>111</v>
      </c>
      <c r="AJ146" t="s">
        <v>274</v>
      </c>
      <c r="AK146">
        <v>26</v>
      </c>
      <c r="AL146">
        <v>65</v>
      </c>
      <c r="AM146" t="s">
        <v>85</v>
      </c>
      <c r="AN146" t="s">
        <v>274</v>
      </c>
      <c r="AO146" t="s">
        <v>111</v>
      </c>
      <c r="AP146" t="s">
        <v>274</v>
      </c>
      <c r="AQ146">
        <v>7</v>
      </c>
      <c r="AR146">
        <v>6</v>
      </c>
      <c r="AS146">
        <v>7</v>
      </c>
      <c r="AT146" t="s">
        <v>266</v>
      </c>
      <c r="AU146">
        <v>38</v>
      </c>
      <c r="AV146" t="s">
        <v>274</v>
      </c>
      <c r="AW146" t="s">
        <v>274</v>
      </c>
      <c r="AX146">
        <v>3</v>
      </c>
      <c r="AY146" t="s">
        <v>274</v>
      </c>
      <c r="AZ146" t="s">
        <v>274</v>
      </c>
      <c r="BA146">
        <v>3</v>
      </c>
      <c r="BB146">
        <v>3</v>
      </c>
      <c r="BC146" t="s">
        <v>274</v>
      </c>
      <c r="BD146">
        <v>3</v>
      </c>
      <c r="BE146">
        <v>6</v>
      </c>
      <c r="BF146">
        <v>28</v>
      </c>
      <c r="BG146" t="s">
        <v>86</v>
      </c>
      <c r="BH146" t="s">
        <v>281</v>
      </c>
      <c r="BI146">
        <v>3.2</v>
      </c>
      <c r="BJ146">
        <v>3.8</v>
      </c>
      <c r="BK146">
        <v>7</v>
      </c>
      <c r="BL146">
        <v>4</v>
      </c>
    </row>
    <row r="147" spans="1:64" x14ac:dyDescent="0.25">
      <c r="A147" t="s">
        <v>412</v>
      </c>
      <c r="B147">
        <v>40</v>
      </c>
      <c r="C147" t="s">
        <v>382</v>
      </c>
      <c r="D147" t="s">
        <v>89</v>
      </c>
      <c r="E147" t="s">
        <v>107</v>
      </c>
      <c r="F147" t="s">
        <v>108</v>
      </c>
      <c r="G147" t="s">
        <v>109</v>
      </c>
      <c r="H147" t="s">
        <v>279</v>
      </c>
      <c r="I147" t="s">
        <v>166</v>
      </c>
      <c r="J147" t="s">
        <v>167</v>
      </c>
      <c r="K147" t="s">
        <v>290</v>
      </c>
      <c r="L147">
        <v>2.5</v>
      </c>
      <c r="M147">
        <v>12</v>
      </c>
      <c r="N147" t="s">
        <v>272</v>
      </c>
      <c r="O147" t="s">
        <v>75</v>
      </c>
      <c r="P147" t="s">
        <v>273</v>
      </c>
      <c r="Q147" t="s">
        <v>295</v>
      </c>
      <c r="R147" t="s">
        <v>274</v>
      </c>
      <c r="S147" t="s">
        <v>274</v>
      </c>
      <c r="T147" t="s">
        <v>274</v>
      </c>
      <c r="U147" t="s">
        <v>286</v>
      </c>
      <c r="V147" t="s">
        <v>274</v>
      </c>
      <c r="W147" t="s">
        <v>274</v>
      </c>
      <c r="X147" t="s">
        <v>313</v>
      </c>
      <c r="Y147">
        <v>6.5</v>
      </c>
      <c r="Z147">
        <v>8</v>
      </c>
      <c r="AA147" t="s">
        <v>266</v>
      </c>
      <c r="AB147" t="s">
        <v>78</v>
      </c>
      <c r="AC147">
        <v>9.5</v>
      </c>
      <c r="AD147">
        <v>3</v>
      </c>
      <c r="AE147">
        <v>2</v>
      </c>
      <c r="AF147">
        <v>3</v>
      </c>
      <c r="AG147">
        <v>2</v>
      </c>
      <c r="AH147">
        <v>2</v>
      </c>
      <c r="AI147" t="s">
        <v>274</v>
      </c>
      <c r="AJ147" t="s">
        <v>274</v>
      </c>
      <c r="AK147">
        <v>40</v>
      </c>
      <c r="AL147">
        <v>100</v>
      </c>
      <c r="AM147" t="s">
        <v>85</v>
      </c>
      <c r="AN147" t="s">
        <v>274</v>
      </c>
      <c r="AO147" t="s">
        <v>274</v>
      </c>
      <c r="AP147" t="s">
        <v>274</v>
      </c>
      <c r="AQ147">
        <v>9</v>
      </c>
      <c r="AR147">
        <v>8</v>
      </c>
      <c r="AS147">
        <v>9</v>
      </c>
      <c r="AT147" t="s">
        <v>266</v>
      </c>
      <c r="AU147">
        <v>56</v>
      </c>
      <c r="AV147" t="s">
        <v>274</v>
      </c>
      <c r="AW147" t="s">
        <v>274</v>
      </c>
      <c r="AX147">
        <v>2</v>
      </c>
      <c r="AY147" t="s">
        <v>83</v>
      </c>
      <c r="AZ147" t="s">
        <v>274</v>
      </c>
      <c r="BA147">
        <v>2</v>
      </c>
      <c r="BB147">
        <v>2</v>
      </c>
      <c r="BC147" t="s">
        <v>274</v>
      </c>
      <c r="BD147">
        <v>2</v>
      </c>
      <c r="BE147">
        <v>8</v>
      </c>
      <c r="BF147">
        <v>50</v>
      </c>
      <c r="BG147" t="s">
        <v>306</v>
      </c>
      <c r="BH147" t="s">
        <v>281</v>
      </c>
      <c r="BI147">
        <v>1.8</v>
      </c>
      <c r="BJ147">
        <v>2.4</v>
      </c>
      <c r="BK147">
        <v>8.8000000000000007</v>
      </c>
      <c r="BL147">
        <v>2.2000000000000002</v>
      </c>
    </row>
    <row r="148" spans="1:64" x14ac:dyDescent="0.25">
      <c r="A148" t="s">
        <v>413</v>
      </c>
      <c r="B148">
        <v>37</v>
      </c>
      <c r="C148" t="s">
        <v>382</v>
      </c>
      <c r="D148" t="s">
        <v>66</v>
      </c>
      <c r="E148" t="s">
        <v>97</v>
      </c>
      <c r="F148" t="s">
        <v>98</v>
      </c>
      <c r="G148" t="s">
        <v>99</v>
      </c>
      <c r="H148" t="s">
        <v>279</v>
      </c>
      <c r="I148" t="s">
        <v>166</v>
      </c>
      <c r="J148" t="s">
        <v>242</v>
      </c>
      <c r="K148" t="s">
        <v>290</v>
      </c>
      <c r="L148">
        <v>3</v>
      </c>
      <c r="M148">
        <v>9</v>
      </c>
      <c r="N148" t="s">
        <v>272</v>
      </c>
      <c r="O148" t="s">
        <v>74</v>
      </c>
      <c r="P148" t="s">
        <v>273</v>
      </c>
      <c r="Q148" t="s">
        <v>101</v>
      </c>
      <c r="R148" t="s">
        <v>111</v>
      </c>
      <c r="S148" t="s">
        <v>111</v>
      </c>
      <c r="T148" t="s">
        <v>274</v>
      </c>
      <c r="U148" t="s">
        <v>80</v>
      </c>
      <c r="V148" t="s">
        <v>274</v>
      </c>
      <c r="W148" t="s">
        <v>111</v>
      </c>
      <c r="X148" t="s">
        <v>358</v>
      </c>
      <c r="Y148">
        <v>7</v>
      </c>
      <c r="Z148">
        <v>8</v>
      </c>
      <c r="AA148" t="s">
        <v>266</v>
      </c>
      <c r="AB148" t="s">
        <v>275</v>
      </c>
      <c r="AC148">
        <v>9</v>
      </c>
      <c r="AD148">
        <v>4</v>
      </c>
      <c r="AE148">
        <v>2</v>
      </c>
      <c r="AF148">
        <v>4</v>
      </c>
      <c r="AG148">
        <v>3</v>
      </c>
      <c r="AH148">
        <v>3</v>
      </c>
      <c r="AI148" t="s">
        <v>111</v>
      </c>
      <c r="AJ148" t="s">
        <v>274</v>
      </c>
      <c r="AK148">
        <v>28</v>
      </c>
      <c r="AL148">
        <v>70</v>
      </c>
      <c r="AM148" t="s">
        <v>85</v>
      </c>
      <c r="AN148" t="s">
        <v>274</v>
      </c>
      <c r="AO148" t="s">
        <v>111</v>
      </c>
      <c r="AP148" t="s">
        <v>274</v>
      </c>
      <c r="AQ148">
        <v>7</v>
      </c>
      <c r="AR148">
        <v>6</v>
      </c>
      <c r="AS148">
        <v>7</v>
      </c>
      <c r="AT148" t="s">
        <v>266</v>
      </c>
      <c r="AU148">
        <v>40</v>
      </c>
      <c r="AV148" t="s">
        <v>274</v>
      </c>
      <c r="AW148" t="s">
        <v>274</v>
      </c>
      <c r="AX148">
        <v>3</v>
      </c>
      <c r="AY148" t="s">
        <v>274</v>
      </c>
      <c r="AZ148" t="s">
        <v>274</v>
      </c>
      <c r="BA148">
        <v>3</v>
      </c>
      <c r="BB148">
        <v>3</v>
      </c>
      <c r="BC148" t="s">
        <v>274</v>
      </c>
      <c r="BD148">
        <v>3</v>
      </c>
      <c r="BE148">
        <v>6</v>
      </c>
      <c r="BF148">
        <v>28</v>
      </c>
      <c r="BG148" t="s">
        <v>86</v>
      </c>
      <c r="BH148" t="s">
        <v>281</v>
      </c>
      <c r="BI148">
        <v>3</v>
      </c>
      <c r="BJ148">
        <v>3.6</v>
      </c>
      <c r="BK148">
        <v>7.2</v>
      </c>
      <c r="BL148">
        <v>3.8</v>
      </c>
    </row>
    <row r="149" spans="1:64" x14ac:dyDescent="0.25">
      <c r="A149" t="s">
        <v>414</v>
      </c>
      <c r="B149">
        <v>43</v>
      </c>
      <c r="C149" t="s">
        <v>382</v>
      </c>
      <c r="D149" t="s">
        <v>89</v>
      </c>
      <c r="E149" t="s">
        <v>114</v>
      </c>
      <c r="F149" t="s">
        <v>115</v>
      </c>
      <c r="G149" t="s">
        <v>116</v>
      </c>
      <c r="H149" t="s">
        <v>124</v>
      </c>
      <c r="I149" t="s">
        <v>166</v>
      </c>
      <c r="J149" t="s">
        <v>289</v>
      </c>
      <c r="K149" t="s">
        <v>290</v>
      </c>
      <c r="L149">
        <v>3.5</v>
      </c>
      <c r="M149">
        <v>10</v>
      </c>
      <c r="N149" t="s">
        <v>75</v>
      </c>
      <c r="O149" t="s">
        <v>135</v>
      </c>
      <c r="P149" t="s">
        <v>273</v>
      </c>
      <c r="Q149" t="s">
        <v>101</v>
      </c>
      <c r="R149" t="s">
        <v>111</v>
      </c>
      <c r="S149" t="s">
        <v>111</v>
      </c>
      <c r="T149" t="s">
        <v>274</v>
      </c>
      <c r="U149" t="s">
        <v>80</v>
      </c>
      <c r="V149" t="s">
        <v>274</v>
      </c>
      <c r="W149" t="s">
        <v>111</v>
      </c>
      <c r="X149" t="s">
        <v>355</v>
      </c>
      <c r="Y149">
        <v>7.5</v>
      </c>
      <c r="Z149">
        <v>7.5</v>
      </c>
      <c r="AA149" t="s">
        <v>266</v>
      </c>
      <c r="AB149" t="s">
        <v>275</v>
      </c>
      <c r="AC149">
        <v>8.5</v>
      </c>
      <c r="AD149">
        <v>4</v>
      </c>
      <c r="AE149">
        <v>2</v>
      </c>
      <c r="AF149">
        <v>4</v>
      </c>
      <c r="AG149">
        <v>4</v>
      </c>
      <c r="AH149">
        <v>3</v>
      </c>
      <c r="AI149" t="s">
        <v>111</v>
      </c>
      <c r="AJ149" t="s">
        <v>274</v>
      </c>
      <c r="AK149">
        <v>26</v>
      </c>
      <c r="AL149">
        <v>65</v>
      </c>
      <c r="AM149" t="s">
        <v>85</v>
      </c>
      <c r="AN149" t="s">
        <v>274</v>
      </c>
      <c r="AO149" t="s">
        <v>111</v>
      </c>
      <c r="AP149" t="s">
        <v>274</v>
      </c>
      <c r="AQ149">
        <v>7</v>
      </c>
      <c r="AR149">
        <v>6</v>
      </c>
      <c r="AS149">
        <v>7</v>
      </c>
      <c r="AT149" t="s">
        <v>266</v>
      </c>
      <c r="AU149">
        <v>38</v>
      </c>
      <c r="AV149" t="s">
        <v>274</v>
      </c>
      <c r="AW149" t="s">
        <v>274</v>
      </c>
      <c r="AX149">
        <v>3</v>
      </c>
      <c r="AY149" t="s">
        <v>274</v>
      </c>
      <c r="AZ149" t="s">
        <v>274</v>
      </c>
      <c r="BA149">
        <v>3</v>
      </c>
      <c r="BB149">
        <v>3</v>
      </c>
      <c r="BC149" t="s">
        <v>274</v>
      </c>
      <c r="BD149">
        <v>3</v>
      </c>
      <c r="BE149">
        <v>6</v>
      </c>
      <c r="BF149">
        <v>28</v>
      </c>
      <c r="BG149" t="s">
        <v>86</v>
      </c>
      <c r="BH149" t="s">
        <v>281</v>
      </c>
      <c r="BI149">
        <v>3.2</v>
      </c>
      <c r="BJ149">
        <v>3.8</v>
      </c>
      <c r="BK149">
        <v>7</v>
      </c>
      <c r="BL149">
        <v>4</v>
      </c>
    </row>
    <row r="150" spans="1:64" x14ac:dyDescent="0.25">
      <c r="A150" t="s">
        <v>415</v>
      </c>
      <c r="B150">
        <v>47</v>
      </c>
      <c r="C150" t="s">
        <v>382</v>
      </c>
      <c r="D150" t="s">
        <v>66</v>
      </c>
      <c r="E150" t="s">
        <v>90</v>
      </c>
      <c r="F150" t="s">
        <v>222</v>
      </c>
      <c r="G150" t="s">
        <v>223</v>
      </c>
      <c r="H150" t="s">
        <v>124</v>
      </c>
      <c r="I150" t="s">
        <v>166</v>
      </c>
      <c r="J150" t="s">
        <v>179</v>
      </c>
      <c r="K150" t="s">
        <v>290</v>
      </c>
      <c r="L150">
        <v>3.5</v>
      </c>
      <c r="M150">
        <v>9</v>
      </c>
      <c r="N150" t="s">
        <v>135</v>
      </c>
      <c r="O150" t="s">
        <v>93</v>
      </c>
      <c r="P150" t="s">
        <v>273</v>
      </c>
      <c r="Q150" t="s">
        <v>101</v>
      </c>
      <c r="R150" t="s">
        <v>111</v>
      </c>
      <c r="S150" t="s">
        <v>111</v>
      </c>
      <c r="T150" t="s">
        <v>111</v>
      </c>
      <c r="U150" t="s">
        <v>80</v>
      </c>
      <c r="V150" t="s">
        <v>111</v>
      </c>
      <c r="W150" t="s">
        <v>111</v>
      </c>
      <c r="X150" t="s">
        <v>416</v>
      </c>
      <c r="Y150">
        <v>7.5</v>
      </c>
      <c r="Z150">
        <v>7.5</v>
      </c>
      <c r="AA150" t="s">
        <v>266</v>
      </c>
      <c r="AB150" t="s">
        <v>103</v>
      </c>
      <c r="AC150">
        <v>8</v>
      </c>
      <c r="AD150">
        <v>4</v>
      </c>
      <c r="AE150">
        <v>2</v>
      </c>
      <c r="AF150">
        <v>4</v>
      </c>
      <c r="AG150">
        <v>4</v>
      </c>
      <c r="AH150">
        <v>3</v>
      </c>
      <c r="AI150" t="s">
        <v>111</v>
      </c>
      <c r="AJ150" t="s">
        <v>111</v>
      </c>
      <c r="AK150">
        <v>24</v>
      </c>
      <c r="AL150">
        <v>60</v>
      </c>
      <c r="AM150" t="s">
        <v>85</v>
      </c>
      <c r="AN150" t="s">
        <v>111</v>
      </c>
      <c r="AO150" t="s">
        <v>111</v>
      </c>
      <c r="AP150" t="s">
        <v>274</v>
      </c>
      <c r="AQ150">
        <v>6</v>
      </c>
      <c r="AR150">
        <v>6</v>
      </c>
      <c r="AS150">
        <v>6</v>
      </c>
      <c r="AT150" t="s">
        <v>266</v>
      </c>
      <c r="AU150">
        <v>35</v>
      </c>
      <c r="AV150" t="s">
        <v>111</v>
      </c>
      <c r="AW150" t="s">
        <v>274</v>
      </c>
      <c r="AX150">
        <v>3</v>
      </c>
      <c r="AY150" t="s">
        <v>274</v>
      </c>
      <c r="AZ150" t="s">
        <v>111</v>
      </c>
      <c r="BA150">
        <v>3</v>
      </c>
      <c r="BB150">
        <v>3</v>
      </c>
      <c r="BC150" t="s">
        <v>274</v>
      </c>
      <c r="BD150">
        <v>3</v>
      </c>
      <c r="BE150">
        <v>6</v>
      </c>
      <c r="BF150">
        <v>28</v>
      </c>
      <c r="BG150" t="s">
        <v>86</v>
      </c>
      <c r="BH150" t="s">
        <v>281</v>
      </c>
      <c r="BI150">
        <v>3.2</v>
      </c>
      <c r="BJ150">
        <v>3.8</v>
      </c>
      <c r="BK150">
        <v>7</v>
      </c>
      <c r="BL150">
        <v>4</v>
      </c>
    </row>
    <row r="151" spans="1:64" x14ac:dyDescent="0.25">
      <c r="A151" t="s">
        <v>417</v>
      </c>
      <c r="B151">
        <v>38</v>
      </c>
      <c r="C151" t="s">
        <v>382</v>
      </c>
      <c r="D151" t="s">
        <v>89</v>
      </c>
      <c r="E151" t="s">
        <v>67</v>
      </c>
      <c r="F151" t="s">
        <v>68</v>
      </c>
      <c r="G151" t="s">
        <v>69</v>
      </c>
      <c r="H151" t="s">
        <v>279</v>
      </c>
      <c r="I151" t="s">
        <v>166</v>
      </c>
      <c r="J151" t="s">
        <v>285</v>
      </c>
      <c r="K151" t="s">
        <v>290</v>
      </c>
      <c r="L151">
        <v>3.5</v>
      </c>
      <c r="M151">
        <v>10</v>
      </c>
      <c r="N151" t="s">
        <v>75</v>
      </c>
      <c r="O151" t="s">
        <v>272</v>
      </c>
      <c r="P151" t="s">
        <v>273</v>
      </c>
      <c r="Q151" t="s">
        <v>101</v>
      </c>
      <c r="R151" t="s">
        <v>111</v>
      </c>
      <c r="S151" t="s">
        <v>111</v>
      </c>
      <c r="T151" t="s">
        <v>274</v>
      </c>
      <c r="U151" t="s">
        <v>80</v>
      </c>
      <c r="V151" t="s">
        <v>274</v>
      </c>
      <c r="W151" t="s">
        <v>111</v>
      </c>
      <c r="X151" t="s">
        <v>324</v>
      </c>
      <c r="Y151">
        <v>7.5</v>
      </c>
      <c r="Z151">
        <v>7.5</v>
      </c>
      <c r="AA151" t="s">
        <v>266</v>
      </c>
      <c r="AB151" t="s">
        <v>275</v>
      </c>
      <c r="AC151">
        <v>8.5</v>
      </c>
      <c r="AD151">
        <v>4</v>
      </c>
      <c r="AE151">
        <v>2</v>
      </c>
      <c r="AF151">
        <v>4</v>
      </c>
      <c r="AG151">
        <v>4</v>
      </c>
      <c r="AH151">
        <v>3</v>
      </c>
      <c r="AI151" t="s">
        <v>111</v>
      </c>
      <c r="AJ151" t="s">
        <v>274</v>
      </c>
      <c r="AK151">
        <v>26</v>
      </c>
      <c r="AL151">
        <v>65</v>
      </c>
      <c r="AM151" t="s">
        <v>85</v>
      </c>
      <c r="AN151" t="s">
        <v>274</v>
      </c>
      <c r="AO151" t="s">
        <v>111</v>
      </c>
      <c r="AP151" t="s">
        <v>274</v>
      </c>
      <c r="AQ151">
        <v>7</v>
      </c>
      <c r="AR151">
        <v>6</v>
      </c>
      <c r="AS151">
        <v>7</v>
      </c>
      <c r="AT151" t="s">
        <v>266</v>
      </c>
      <c r="AU151">
        <v>40</v>
      </c>
      <c r="AV151" t="s">
        <v>274</v>
      </c>
      <c r="AW151" t="s">
        <v>274</v>
      </c>
      <c r="AX151">
        <v>3</v>
      </c>
      <c r="AY151" t="s">
        <v>274</v>
      </c>
      <c r="AZ151" t="s">
        <v>274</v>
      </c>
      <c r="BA151">
        <v>3</v>
      </c>
      <c r="BB151">
        <v>3</v>
      </c>
      <c r="BC151" t="s">
        <v>274</v>
      </c>
      <c r="BD151">
        <v>3</v>
      </c>
      <c r="BE151">
        <v>6</v>
      </c>
      <c r="BF151">
        <v>28</v>
      </c>
      <c r="BG151" t="s">
        <v>86</v>
      </c>
      <c r="BH151" t="s">
        <v>281</v>
      </c>
      <c r="BI151">
        <v>3.2</v>
      </c>
      <c r="BJ151">
        <v>3.8</v>
      </c>
      <c r="BK151">
        <v>7</v>
      </c>
      <c r="BL151">
        <v>4</v>
      </c>
    </row>
    <row r="152" spans="1:64" x14ac:dyDescent="0.25">
      <c r="A152" t="s">
        <v>418</v>
      </c>
      <c r="B152">
        <v>45</v>
      </c>
      <c r="C152" t="s">
        <v>382</v>
      </c>
      <c r="D152" t="s">
        <v>66</v>
      </c>
      <c r="E152" t="s">
        <v>107</v>
      </c>
      <c r="F152" t="s">
        <v>122</v>
      </c>
      <c r="G152" t="s">
        <v>123</v>
      </c>
      <c r="H152" t="s">
        <v>279</v>
      </c>
      <c r="I152" t="s">
        <v>166</v>
      </c>
      <c r="J152" t="s">
        <v>72</v>
      </c>
      <c r="K152" t="s">
        <v>290</v>
      </c>
      <c r="L152">
        <v>2.5</v>
      </c>
      <c r="M152">
        <v>11</v>
      </c>
      <c r="N152" t="s">
        <v>135</v>
      </c>
      <c r="O152" t="s">
        <v>74</v>
      </c>
      <c r="P152" t="s">
        <v>273</v>
      </c>
      <c r="Q152" t="s">
        <v>295</v>
      </c>
      <c r="R152" t="s">
        <v>274</v>
      </c>
      <c r="S152" t="s">
        <v>274</v>
      </c>
      <c r="T152" t="s">
        <v>274</v>
      </c>
      <c r="U152" t="s">
        <v>286</v>
      </c>
      <c r="V152" t="s">
        <v>274</v>
      </c>
      <c r="W152" t="s">
        <v>274</v>
      </c>
      <c r="X152" t="s">
        <v>300</v>
      </c>
      <c r="Y152">
        <v>6.5</v>
      </c>
      <c r="Z152">
        <v>8</v>
      </c>
      <c r="AA152" t="s">
        <v>266</v>
      </c>
      <c r="AB152" t="s">
        <v>78</v>
      </c>
      <c r="AC152">
        <v>9</v>
      </c>
      <c r="AD152">
        <v>3</v>
      </c>
      <c r="AE152">
        <v>1</v>
      </c>
      <c r="AF152">
        <v>3</v>
      </c>
      <c r="AG152">
        <v>2</v>
      </c>
      <c r="AH152">
        <v>2</v>
      </c>
      <c r="AI152" t="s">
        <v>274</v>
      </c>
      <c r="AJ152" t="s">
        <v>274</v>
      </c>
      <c r="AK152">
        <v>38</v>
      </c>
      <c r="AL152">
        <v>95</v>
      </c>
      <c r="AM152" t="s">
        <v>85</v>
      </c>
      <c r="AN152" t="s">
        <v>274</v>
      </c>
      <c r="AO152" t="s">
        <v>274</v>
      </c>
      <c r="AP152" t="s">
        <v>274</v>
      </c>
      <c r="AQ152">
        <v>9</v>
      </c>
      <c r="AR152">
        <v>8</v>
      </c>
      <c r="AS152">
        <v>9</v>
      </c>
      <c r="AT152" t="s">
        <v>266</v>
      </c>
      <c r="AU152">
        <v>55</v>
      </c>
      <c r="AV152" t="s">
        <v>274</v>
      </c>
      <c r="AW152" t="s">
        <v>274</v>
      </c>
      <c r="AX152">
        <v>2</v>
      </c>
      <c r="AY152" t="s">
        <v>83</v>
      </c>
      <c r="AZ152" t="s">
        <v>274</v>
      </c>
      <c r="BA152">
        <v>2</v>
      </c>
      <c r="BB152">
        <v>2</v>
      </c>
      <c r="BC152" t="s">
        <v>274</v>
      </c>
      <c r="BD152">
        <v>2</v>
      </c>
      <c r="BE152">
        <v>8</v>
      </c>
      <c r="BF152">
        <v>48</v>
      </c>
      <c r="BG152" t="s">
        <v>306</v>
      </c>
      <c r="BH152" t="s">
        <v>281</v>
      </c>
      <c r="BI152">
        <v>1.8</v>
      </c>
      <c r="BJ152">
        <v>2.4</v>
      </c>
      <c r="BK152">
        <v>8.8000000000000007</v>
      </c>
      <c r="BL152">
        <v>2.2000000000000002</v>
      </c>
    </row>
    <row r="153" spans="1:64" x14ac:dyDescent="0.25">
      <c r="A153" t="s">
        <v>419</v>
      </c>
      <c r="B153">
        <v>41</v>
      </c>
      <c r="C153" t="s">
        <v>382</v>
      </c>
      <c r="D153" t="s">
        <v>89</v>
      </c>
      <c r="E153" t="s">
        <v>97</v>
      </c>
      <c r="F153" t="s">
        <v>225</v>
      </c>
      <c r="G153" t="s">
        <v>226</v>
      </c>
      <c r="H153" t="s">
        <v>124</v>
      </c>
      <c r="I153" t="s">
        <v>166</v>
      </c>
      <c r="J153" t="s">
        <v>315</v>
      </c>
      <c r="K153" t="s">
        <v>290</v>
      </c>
      <c r="L153">
        <v>3</v>
      </c>
      <c r="M153">
        <v>8</v>
      </c>
      <c r="N153" t="s">
        <v>135</v>
      </c>
      <c r="O153" t="s">
        <v>75</v>
      </c>
      <c r="P153" t="s">
        <v>273</v>
      </c>
      <c r="Q153" t="s">
        <v>101</v>
      </c>
      <c r="R153" t="s">
        <v>111</v>
      </c>
      <c r="S153" t="s">
        <v>111</v>
      </c>
      <c r="T153" t="s">
        <v>274</v>
      </c>
      <c r="U153" t="s">
        <v>80</v>
      </c>
      <c r="V153" t="s">
        <v>274</v>
      </c>
      <c r="W153" t="s">
        <v>274</v>
      </c>
      <c r="X153" t="s">
        <v>280</v>
      </c>
      <c r="Y153">
        <v>7</v>
      </c>
      <c r="Z153">
        <v>8</v>
      </c>
      <c r="AA153" t="s">
        <v>266</v>
      </c>
      <c r="AB153" t="s">
        <v>275</v>
      </c>
      <c r="AC153">
        <v>9</v>
      </c>
      <c r="AD153">
        <v>4</v>
      </c>
      <c r="AE153">
        <v>2</v>
      </c>
      <c r="AF153">
        <v>4</v>
      </c>
      <c r="AG153">
        <v>3</v>
      </c>
      <c r="AH153">
        <v>3</v>
      </c>
      <c r="AI153" t="s">
        <v>111</v>
      </c>
      <c r="AJ153" t="s">
        <v>274</v>
      </c>
      <c r="AK153">
        <v>28</v>
      </c>
      <c r="AL153">
        <v>70</v>
      </c>
      <c r="AM153" t="s">
        <v>85</v>
      </c>
      <c r="AN153" t="s">
        <v>274</v>
      </c>
      <c r="AO153" t="s">
        <v>111</v>
      </c>
      <c r="AP153" t="s">
        <v>274</v>
      </c>
      <c r="AQ153">
        <v>7</v>
      </c>
      <c r="AR153">
        <v>6</v>
      </c>
      <c r="AS153">
        <v>7</v>
      </c>
      <c r="AT153" t="s">
        <v>266</v>
      </c>
      <c r="AU153">
        <v>40</v>
      </c>
      <c r="AV153" t="s">
        <v>274</v>
      </c>
      <c r="AW153" t="s">
        <v>274</v>
      </c>
      <c r="AX153">
        <v>3</v>
      </c>
      <c r="AY153" t="s">
        <v>274</v>
      </c>
      <c r="AZ153" t="s">
        <v>274</v>
      </c>
      <c r="BA153">
        <v>3</v>
      </c>
      <c r="BB153">
        <v>3</v>
      </c>
      <c r="BC153" t="s">
        <v>274</v>
      </c>
      <c r="BD153">
        <v>3</v>
      </c>
      <c r="BE153">
        <v>6</v>
      </c>
      <c r="BF153">
        <v>28</v>
      </c>
      <c r="BG153" t="s">
        <v>86</v>
      </c>
      <c r="BH153" t="s">
        <v>281</v>
      </c>
      <c r="BI153">
        <v>3</v>
      </c>
      <c r="BJ153">
        <v>3.6</v>
      </c>
      <c r="BK153">
        <v>7.2</v>
      </c>
      <c r="BL153">
        <v>3.8</v>
      </c>
    </row>
    <row r="154" spans="1:64" x14ac:dyDescent="0.25">
      <c r="A154" t="s">
        <v>420</v>
      </c>
      <c r="B154">
        <v>44</v>
      </c>
      <c r="C154" t="s">
        <v>382</v>
      </c>
      <c r="D154" t="s">
        <v>66</v>
      </c>
      <c r="E154" t="s">
        <v>149</v>
      </c>
      <c r="F154" t="s">
        <v>247</v>
      </c>
      <c r="G154" t="s">
        <v>248</v>
      </c>
      <c r="H154" t="s">
        <v>279</v>
      </c>
      <c r="I154" t="s">
        <v>166</v>
      </c>
      <c r="J154" t="s">
        <v>242</v>
      </c>
      <c r="K154" t="s">
        <v>290</v>
      </c>
      <c r="L154">
        <v>3</v>
      </c>
      <c r="M154">
        <v>10</v>
      </c>
      <c r="N154" t="s">
        <v>74</v>
      </c>
      <c r="O154" t="s">
        <v>272</v>
      </c>
      <c r="P154" t="s">
        <v>273</v>
      </c>
      <c r="Q154" t="s">
        <v>101</v>
      </c>
      <c r="R154" t="s">
        <v>111</v>
      </c>
      <c r="S154" t="s">
        <v>111</v>
      </c>
      <c r="T154" t="s">
        <v>274</v>
      </c>
      <c r="U154" t="s">
        <v>80</v>
      </c>
      <c r="V154" t="s">
        <v>274</v>
      </c>
      <c r="W154" t="s">
        <v>111</v>
      </c>
      <c r="X154" t="s">
        <v>390</v>
      </c>
      <c r="Y154">
        <v>7</v>
      </c>
      <c r="Z154">
        <v>8</v>
      </c>
      <c r="AA154" t="s">
        <v>266</v>
      </c>
      <c r="AB154" t="s">
        <v>275</v>
      </c>
      <c r="AC154">
        <v>9</v>
      </c>
      <c r="AD154">
        <v>4</v>
      </c>
      <c r="AE154">
        <v>2</v>
      </c>
      <c r="AF154">
        <v>4</v>
      </c>
      <c r="AG154">
        <v>3</v>
      </c>
      <c r="AH154">
        <v>3</v>
      </c>
      <c r="AI154" t="s">
        <v>111</v>
      </c>
      <c r="AJ154" t="s">
        <v>274</v>
      </c>
      <c r="AK154">
        <v>28</v>
      </c>
      <c r="AL154">
        <v>70</v>
      </c>
      <c r="AM154" t="s">
        <v>85</v>
      </c>
      <c r="AN154" t="s">
        <v>274</v>
      </c>
      <c r="AO154" t="s">
        <v>111</v>
      </c>
      <c r="AP154" t="s">
        <v>274</v>
      </c>
      <c r="AQ154">
        <v>7</v>
      </c>
      <c r="AR154">
        <v>6</v>
      </c>
      <c r="AS154">
        <v>7</v>
      </c>
      <c r="AT154" t="s">
        <v>266</v>
      </c>
      <c r="AU154">
        <v>40</v>
      </c>
      <c r="AV154" t="s">
        <v>274</v>
      </c>
      <c r="AW154" t="s">
        <v>274</v>
      </c>
      <c r="AX154">
        <v>3</v>
      </c>
      <c r="AY154" t="s">
        <v>274</v>
      </c>
      <c r="AZ154" t="s">
        <v>274</v>
      </c>
      <c r="BA154">
        <v>3</v>
      </c>
      <c r="BB154">
        <v>3</v>
      </c>
      <c r="BC154" t="s">
        <v>274</v>
      </c>
      <c r="BD154">
        <v>3</v>
      </c>
      <c r="BE154">
        <v>6</v>
      </c>
      <c r="BF154">
        <v>28</v>
      </c>
      <c r="BG154" t="s">
        <v>86</v>
      </c>
      <c r="BH154" t="s">
        <v>281</v>
      </c>
      <c r="BI154">
        <v>3</v>
      </c>
      <c r="BJ154">
        <v>3.6</v>
      </c>
      <c r="BK154">
        <v>7.2</v>
      </c>
      <c r="BL154">
        <v>3.8</v>
      </c>
    </row>
    <row r="155" spans="1:64" x14ac:dyDescent="0.25">
      <c r="A155" t="s">
        <v>421</v>
      </c>
      <c r="B155">
        <v>39</v>
      </c>
      <c r="C155" t="s">
        <v>382</v>
      </c>
      <c r="D155" t="s">
        <v>89</v>
      </c>
      <c r="E155" t="s">
        <v>90</v>
      </c>
      <c r="F155" t="s">
        <v>207</v>
      </c>
      <c r="G155" t="s">
        <v>208</v>
      </c>
      <c r="H155" t="s">
        <v>124</v>
      </c>
      <c r="I155" t="s">
        <v>166</v>
      </c>
      <c r="J155" t="s">
        <v>179</v>
      </c>
      <c r="K155" t="s">
        <v>290</v>
      </c>
      <c r="L155">
        <v>4</v>
      </c>
      <c r="M155">
        <v>9</v>
      </c>
      <c r="N155" t="s">
        <v>135</v>
      </c>
      <c r="O155" t="s">
        <v>75</v>
      </c>
      <c r="P155" t="s">
        <v>100</v>
      </c>
      <c r="Q155" t="s">
        <v>101</v>
      </c>
      <c r="R155" t="s">
        <v>111</v>
      </c>
      <c r="S155" t="s">
        <v>111</v>
      </c>
      <c r="T155" t="s">
        <v>111</v>
      </c>
      <c r="U155" t="s">
        <v>80</v>
      </c>
      <c r="V155" t="s">
        <v>111</v>
      </c>
      <c r="W155" t="s">
        <v>111</v>
      </c>
      <c r="X155" t="s">
        <v>422</v>
      </c>
      <c r="Y155">
        <v>8</v>
      </c>
      <c r="Z155">
        <v>7.5</v>
      </c>
      <c r="AA155" t="s">
        <v>266</v>
      </c>
      <c r="AB155" t="s">
        <v>103</v>
      </c>
      <c r="AC155">
        <v>8</v>
      </c>
      <c r="AD155">
        <v>5</v>
      </c>
      <c r="AE155">
        <v>2</v>
      </c>
      <c r="AF155">
        <v>5</v>
      </c>
      <c r="AG155">
        <v>4</v>
      </c>
      <c r="AH155">
        <v>4</v>
      </c>
      <c r="AI155" t="s">
        <v>111</v>
      </c>
      <c r="AJ155" t="s">
        <v>111</v>
      </c>
      <c r="AK155">
        <v>22</v>
      </c>
      <c r="AL155">
        <v>55</v>
      </c>
      <c r="AM155" t="s">
        <v>85</v>
      </c>
      <c r="AN155" t="s">
        <v>111</v>
      </c>
      <c r="AO155" t="s">
        <v>274</v>
      </c>
      <c r="AP155" t="s">
        <v>274</v>
      </c>
      <c r="AQ155">
        <v>6</v>
      </c>
      <c r="AR155">
        <v>6</v>
      </c>
      <c r="AS155">
        <v>6</v>
      </c>
      <c r="AT155" t="s">
        <v>266</v>
      </c>
      <c r="AU155">
        <v>30</v>
      </c>
      <c r="AV155" t="s">
        <v>111</v>
      </c>
      <c r="AW155" t="s">
        <v>274</v>
      </c>
      <c r="AX155">
        <v>4</v>
      </c>
      <c r="AY155" t="s">
        <v>274</v>
      </c>
      <c r="AZ155" t="s">
        <v>111</v>
      </c>
      <c r="BA155">
        <v>4</v>
      </c>
      <c r="BB155">
        <v>4</v>
      </c>
      <c r="BC155" t="s">
        <v>274</v>
      </c>
      <c r="BD155">
        <v>4</v>
      </c>
      <c r="BE155">
        <v>5</v>
      </c>
      <c r="BF155">
        <v>20</v>
      </c>
      <c r="BG155" t="s">
        <v>117</v>
      </c>
      <c r="BH155" t="s">
        <v>171</v>
      </c>
      <c r="BI155">
        <v>4.5</v>
      </c>
      <c r="BJ155">
        <v>5</v>
      </c>
      <c r="BK155">
        <v>5.8</v>
      </c>
      <c r="BL155">
        <v>5.5</v>
      </c>
    </row>
    <row r="156" spans="1:64" x14ac:dyDescent="0.25">
      <c r="A156" t="s">
        <v>423</v>
      </c>
      <c r="B156">
        <v>46</v>
      </c>
      <c r="C156" t="s">
        <v>382</v>
      </c>
      <c r="D156" t="s">
        <v>66</v>
      </c>
      <c r="E156" t="s">
        <v>67</v>
      </c>
      <c r="F156" t="s">
        <v>133</v>
      </c>
      <c r="G156" t="s">
        <v>134</v>
      </c>
      <c r="H156" t="s">
        <v>124</v>
      </c>
      <c r="I156" t="s">
        <v>166</v>
      </c>
      <c r="J156" t="s">
        <v>72</v>
      </c>
      <c r="K156" t="s">
        <v>290</v>
      </c>
      <c r="L156">
        <v>3.5</v>
      </c>
      <c r="M156">
        <v>9</v>
      </c>
      <c r="N156" t="s">
        <v>135</v>
      </c>
      <c r="O156" t="s">
        <v>75</v>
      </c>
      <c r="P156" t="s">
        <v>273</v>
      </c>
      <c r="Q156" t="s">
        <v>101</v>
      </c>
      <c r="R156" t="s">
        <v>111</v>
      </c>
      <c r="S156" t="s">
        <v>111</v>
      </c>
      <c r="T156" t="s">
        <v>274</v>
      </c>
      <c r="U156" t="s">
        <v>80</v>
      </c>
      <c r="V156" t="s">
        <v>274</v>
      </c>
      <c r="W156" t="s">
        <v>111</v>
      </c>
      <c r="X156" t="s">
        <v>300</v>
      </c>
      <c r="Y156">
        <v>7.5</v>
      </c>
      <c r="Z156">
        <v>7.5</v>
      </c>
      <c r="AA156" t="s">
        <v>266</v>
      </c>
      <c r="AB156" t="s">
        <v>275</v>
      </c>
      <c r="AC156">
        <v>8.5</v>
      </c>
      <c r="AD156">
        <v>4</v>
      </c>
      <c r="AE156">
        <v>2</v>
      </c>
      <c r="AF156">
        <v>4</v>
      </c>
      <c r="AG156">
        <v>4</v>
      </c>
      <c r="AH156">
        <v>3</v>
      </c>
      <c r="AI156" t="s">
        <v>111</v>
      </c>
      <c r="AJ156" t="s">
        <v>274</v>
      </c>
      <c r="AK156">
        <v>26</v>
      </c>
      <c r="AL156">
        <v>65</v>
      </c>
      <c r="AM156" t="s">
        <v>85</v>
      </c>
      <c r="AN156" t="s">
        <v>274</v>
      </c>
      <c r="AO156" t="s">
        <v>111</v>
      </c>
      <c r="AP156" t="s">
        <v>274</v>
      </c>
      <c r="AQ156">
        <v>7</v>
      </c>
      <c r="AR156">
        <v>6</v>
      </c>
      <c r="AS156">
        <v>7</v>
      </c>
      <c r="AT156" t="s">
        <v>266</v>
      </c>
      <c r="AU156">
        <v>38</v>
      </c>
      <c r="AV156" t="s">
        <v>274</v>
      </c>
      <c r="AW156" t="s">
        <v>274</v>
      </c>
      <c r="AX156">
        <v>3</v>
      </c>
      <c r="AY156" t="s">
        <v>274</v>
      </c>
      <c r="AZ156" t="s">
        <v>274</v>
      </c>
      <c r="BA156">
        <v>3</v>
      </c>
      <c r="BB156">
        <v>3</v>
      </c>
      <c r="BC156" t="s">
        <v>274</v>
      </c>
      <c r="BD156">
        <v>3</v>
      </c>
      <c r="BE156">
        <v>6</v>
      </c>
      <c r="BF156">
        <v>28</v>
      </c>
      <c r="BG156" t="s">
        <v>86</v>
      </c>
      <c r="BH156" t="s">
        <v>281</v>
      </c>
      <c r="BI156">
        <v>3.2</v>
      </c>
      <c r="BJ156">
        <v>3.8</v>
      </c>
      <c r="BK156">
        <v>7</v>
      </c>
      <c r="BL156">
        <v>4</v>
      </c>
    </row>
    <row r="157" spans="1:64" x14ac:dyDescent="0.25">
      <c r="A157" t="s">
        <v>424</v>
      </c>
      <c r="B157">
        <v>48</v>
      </c>
      <c r="C157" t="s">
        <v>382</v>
      </c>
      <c r="D157" t="s">
        <v>89</v>
      </c>
      <c r="E157" t="s">
        <v>114</v>
      </c>
      <c r="F157" t="s">
        <v>244</v>
      </c>
      <c r="G157" t="s">
        <v>245</v>
      </c>
      <c r="H157" t="s">
        <v>124</v>
      </c>
      <c r="I157" t="s">
        <v>166</v>
      </c>
      <c r="J157" t="s">
        <v>264</v>
      </c>
      <c r="K157" t="s">
        <v>290</v>
      </c>
      <c r="L157">
        <v>2.5</v>
      </c>
      <c r="M157">
        <v>12</v>
      </c>
      <c r="N157" t="s">
        <v>135</v>
      </c>
      <c r="O157" t="s">
        <v>272</v>
      </c>
      <c r="P157" t="s">
        <v>273</v>
      </c>
      <c r="Q157" t="s">
        <v>295</v>
      </c>
      <c r="R157" t="s">
        <v>274</v>
      </c>
      <c r="S157" t="s">
        <v>111</v>
      </c>
      <c r="T157" t="s">
        <v>274</v>
      </c>
      <c r="U157" t="s">
        <v>80</v>
      </c>
      <c r="V157" t="s">
        <v>274</v>
      </c>
      <c r="W157" t="s">
        <v>274</v>
      </c>
      <c r="X157" t="s">
        <v>388</v>
      </c>
      <c r="Y157">
        <v>6.5</v>
      </c>
      <c r="Z157">
        <v>8</v>
      </c>
      <c r="AA157" t="s">
        <v>266</v>
      </c>
      <c r="AB157" t="s">
        <v>275</v>
      </c>
      <c r="AC157">
        <v>9</v>
      </c>
      <c r="AD157">
        <v>3</v>
      </c>
      <c r="AE157">
        <v>2</v>
      </c>
      <c r="AF157">
        <v>3</v>
      </c>
      <c r="AG157">
        <v>3</v>
      </c>
      <c r="AH157">
        <v>2</v>
      </c>
      <c r="AI157" t="s">
        <v>274</v>
      </c>
      <c r="AJ157" t="s">
        <v>274</v>
      </c>
      <c r="AK157">
        <v>35</v>
      </c>
      <c r="AL157">
        <v>88</v>
      </c>
      <c r="AM157" t="s">
        <v>85</v>
      </c>
      <c r="AN157" t="s">
        <v>274</v>
      </c>
      <c r="AO157" t="s">
        <v>274</v>
      </c>
      <c r="AP157" t="s">
        <v>274</v>
      </c>
      <c r="AQ157">
        <v>8</v>
      </c>
      <c r="AR157">
        <v>7</v>
      </c>
      <c r="AS157">
        <v>8</v>
      </c>
      <c r="AT157" t="s">
        <v>266</v>
      </c>
      <c r="AU157">
        <v>50</v>
      </c>
      <c r="AV157" t="s">
        <v>274</v>
      </c>
      <c r="AW157" t="s">
        <v>274</v>
      </c>
      <c r="AX157">
        <v>2</v>
      </c>
      <c r="AY157" t="s">
        <v>274</v>
      </c>
      <c r="AZ157" t="s">
        <v>274</v>
      </c>
      <c r="BA157">
        <v>2</v>
      </c>
      <c r="BB157">
        <v>2</v>
      </c>
      <c r="BC157" t="s">
        <v>274</v>
      </c>
      <c r="BD157">
        <v>2</v>
      </c>
      <c r="BE157">
        <v>7</v>
      </c>
      <c r="BF157">
        <v>40</v>
      </c>
      <c r="BG157" t="s">
        <v>86</v>
      </c>
      <c r="BH157" t="s">
        <v>281</v>
      </c>
      <c r="BI157">
        <v>2.5</v>
      </c>
      <c r="BJ157">
        <v>3</v>
      </c>
      <c r="BK157">
        <v>8</v>
      </c>
      <c r="BL157">
        <v>3</v>
      </c>
    </row>
    <row r="158" spans="1:64" x14ac:dyDescent="0.25">
      <c r="A158" t="s">
        <v>425</v>
      </c>
      <c r="B158">
        <v>37</v>
      </c>
      <c r="C158" t="s">
        <v>382</v>
      </c>
      <c r="D158" t="s">
        <v>66</v>
      </c>
      <c r="E158" t="s">
        <v>107</v>
      </c>
      <c r="F158" t="s">
        <v>141</v>
      </c>
      <c r="G158" t="s">
        <v>142</v>
      </c>
      <c r="H158" t="s">
        <v>279</v>
      </c>
      <c r="I158" t="s">
        <v>166</v>
      </c>
      <c r="J158" t="s">
        <v>285</v>
      </c>
      <c r="K158" t="s">
        <v>290</v>
      </c>
      <c r="L158">
        <v>2.5</v>
      </c>
      <c r="M158">
        <v>10</v>
      </c>
      <c r="N158" t="s">
        <v>135</v>
      </c>
      <c r="O158" t="s">
        <v>74</v>
      </c>
      <c r="P158" t="s">
        <v>273</v>
      </c>
      <c r="Q158" t="s">
        <v>295</v>
      </c>
      <c r="R158" t="s">
        <v>274</v>
      </c>
      <c r="S158" t="s">
        <v>274</v>
      </c>
      <c r="T158" t="s">
        <v>274</v>
      </c>
      <c r="U158" t="s">
        <v>286</v>
      </c>
      <c r="V158" t="s">
        <v>274</v>
      </c>
      <c r="W158" t="s">
        <v>274</v>
      </c>
      <c r="X158" t="s">
        <v>296</v>
      </c>
      <c r="Y158">
        <v>6.5</v>
      </c>
      <c r="Z158">
        <v>8</v>
      </c>
      <c r="AA158" t="s">
        <v>266</v>
      </c>
      <c r="AB158" t="s">
        <v>78</v>
      </c>
      <c r="AC158">
        <v>9</v>
      </c>
      <c r="AD158">
        <v>3</v>
      </c>
      <c r="AE158">
        <v>1</v>
      </c>
      <c r="AF158">
        <v>3</v>
      </c>
      <c r="AG158">
        <v>2</v>
      </c>
      <c r="AH158">
        <v>2</v>
      </c>
      <c r="AI158" t="s">
        <v>274</v>
      </c>
      <c r="AJ158" t="s">
        <v>274</v>
      </c>
      <c r="AK158">
        <v>38</v>
      </c>
      <c r="AL158">
        <v>95</v>
      </c>
      <c r="AM158" t="s">
        <v>85</v>
      </c>
      <c r="AN158" t="s">
        <v>274</v>
      </c>
      <c r="AO158" t="s">
        <v>274</v>
      </c>
      <c r="AP158" t="s">
        <v>274</v>
      </c>
      <c r="AQ158">
        <v>9</v>
      </c>
      <c r="AR158">
        <v>8</v>
      </c>
      <c r="AS158">
        <v>9</v>
      </c>
      <c r="AT158" t="s">
        <v>266</v>
      </c>
      <c r="AU158">
        <v>55</v>
      </c>
      <c r="AV158" t="s">
        <v>274</v>
      </c>
      <c r="AW158" t="s">
        <v>274</v>
      </c>
      <c r="AX158">
        <v>2</v>
      </c>
      <c r="AY158" t="s">
        <v>83</v>
      </c>
      <c r="AZ158" t="s">
        <v>274</v>
      </c>
      <c r="BA158">
        <v>2</v>
      </c>
      <c r="BB158">
        <v>2</v>
      </c>
      <c r="BC158" t="s">
        <v>274</v>
      </c>
      <c r="BD158">
        <v>2</v>
      </c>
      <c r="BE158">
        <v>8</v>
      </c>
      <c r="BF158">
        <v>46</v>
      </c>
      <c r="BG158" t="s">
        <v>306</v>
      </c>
      <c r="BH158" t="s">
        <v>281</v>
      </c>
      <c r="BI158">
        <v>1.8</v>
      </c>
      <c r="BJ158">
        <v>2.4</v>
      </c>
      <c r="BK158">
        <v>8.8000000000000007</v>
      </c>
      <c r="BL158">
        <v>2.2000000000000002</v>
      </c>
    </row>
    <row r="159" spans="1:64" x14ac:dyDescent="0.25">
      <c r="A159" t="s">
        <v>426</v>
      </c>
      <c r="B159">
        <v>43</v>
      </c>
      <c r="C159" t="s">
        <v>382</v>
      </c>
      <c r="D159" t="s">
        <v>89</v>
      </c>
      <c r="E159" t="s">
        <v>90</v>
      </c>
      <c r="F159" t="s">
        <v>233</v>
      </c>
      <c r="G159" t="s">
        <v>234</v>
      </c>
      <c r="H159" t="s">
        <v>124</v>
      </c>
      <c r="I159" t="s">
        <v>166</v>
      </c>
      <c r="J159" t="s">
        <v>250</v>
      </c>
      <c r="K159" t="s">
        <v>290</v>
      </c>
      <c r="L159">
        <v>3.5</v>
      </c>
      <c r="M159">
        <v>9</v>
      </c>
      <c r="N159" t="s">
        <v>135</v>
      </c>
      <c r="O159" t="s">
        <v>74</v>
      </c>
      <c r="P159" t="s">
        <v>273</v>
      </c>
      <c r="Q159" t="s">
        <v>101</v>
      </c>
      <c r="R159" t="s">
        <v>111</v>
      </c>
      <c r="S159" t="s">
        <v>111</v>
      </c>
      <c r="T159" t="s">
        <v>111</v>
      </c>
      <c r="U159" t="s">
        <v>80</v>
      </c>
      <c r="V159" t="s">
        <v>111</v>
      </c>
      <c r="W159" t="s">
        <v>111</v>
      </c>
      <c r="X159" t="s">
        <v>322</v>
      </c>
      <c r="Y159">
        <v>7.5</v>
      </c>
      <c r="Z159">
        <v>7.5</v>
      </c>
      <c r="AA159" t="s">
        <v>266</v>
      </c>
      <c r="AB159" t="s">
        <v>103</v>
      </c>
      <c r="AC159">
        <v>8.5</v>
      </c>
      <c r="AD159">
        <v>4</v>
      </c>
      <c r="AE159">
        <v>2</v>
      </c>
      <c r="AF159">
        <v>4</v>
      </c>
      <c r="AG159">
        <v>4</v>
      </c>
      <c r="AH159">
        <v>3</v>
      </c>
      <c r="AI159" t="s">
        <v>111</v>
      </c>
      <c r="AJ159" t="s">
        <v>111</v>
      </c>
      <c r="AK159">
        <v>24</v>
      </c>
      <c r="AL159">
        <v>60</v>
      </c>
      <c r="AM159" t="s">
        <v>85</v>
      </c>
      <c r="AN159" t="s">
        <v>111</v>
      </c>
      <c r="AO159" t="s">
        <v>111</v>
      </c>
      <c r="AP159" t="s">
        <v>274</v>
      </c>
      <c r="AQ159">
        <v>6</v>
      </c>
      <c r="AR159">
        <v>6</v>
      </c>
      <c r="AS159">
        <v>6</v>
      </c>
      <c r="AT159" t="s">
        <v>266</v>
      </c>
      <c r="AU159">
        <v>34</v>
      </c>
      <c r="AV159" t="s">
        <v>111</v>
      </c>
      <c r="AW159" t="s">
        <v>274</v>
      </c>
      <c r="AX159">
        <v>3</v>
      </c>
      <c r="AY159" t="s">
        <v>274</v>
      </c>
      <c r="AZ159" t="s">
        <v>111</v>
      </c>
      <c r="BA159">
        <v>3</v>
      </c>
      <c r="BB159">
        <v>3</v>
      </c>
      <c r="BC159" t="s">
        <v>274</v>
      </c>
      <c r="BD159">
        <v>3</v>
      </c>
      <c r="BE159">
        <v>6</v>
      </c>
      <c r="BF159">
        <v>28</v>
      </c>
      <c r="BG159" t="s">
        <v>86</v>
      </c>
      <c r="BH159" t="s">
        <v>281</v>
      </c>
      <c r="BI159">
        <v>3.2</v>
      </c>
      <c r="BJ159">
        <v>3.8</v>
      </c>
      <c r="BK159">
        <v>7</v>
      </c>
      <c r="BL159">
        <v>4</v>
      </c>
    </row>
    <row r="160" spans="1:64" x14ac:dyDescent="0.25">
      <c r="A160" t="s">
        <v>427</v>
      </c>
      <c r="B160">
        <v>40</v>
      </c>
      <c r="C160" t="s">
        <v>382</v>
      </c>
      <c r="D160" t="s">
        <v>66</v>
      </c>
      <c r="E160" t="s">
        <v>97</v>
      </c>
      <c r="F160" t="s">
        <v>201</v>
      </c>
      <c r="G160" t="s">
        <v>202</v>
      </c>
      <c r="H160" t="s">
        <v>124</v>
      </c>
      <c r="I160" t="s">
        <v>166</v>
      </c>
      <c r="J160" t="s">
        <v>315</v>
      </c>
      <c r="K160" t="s">
        <v>290</v>
      </c>
      <c r="L160">
        <v>3</v>
      </c>
      <c r="M160">
        <v>8</v>
      </c>
      <c r="N160" t="s">
        <v>135</v>
      </c>
      <c r="O160" t="s">
        <v>75</v>
      </c>
      <c r="P160" t="s">
        <v>273</v>
      </c>
      <c r="Q160" t="s">
        <v>101</v>
      </c>
      <c r="R160" t="s">
        <v>111</v>
      </c>
      <c r="S160" t="s">
        <v>111</v>
      </c>
      <c r="T160" t="s">
        <v>274</v>
      </c>
      <c r="U160" t="s">
        <v>80</v>
      </c>
      <c r="V160" t="s">
        <v>274</v>
      </c>
      <c r="W160" t="s">
        <v>274</v>
      </c>
      <c r="X160" t="s">
        <v>428</v>
      </c>
      <c r="Y160">
        <v>7</v>
      </c>
      <c r="Z160">
        <v>8</v>
      </c>
      <c r="AA160" t="s">
        <v>266</v>
      </c>
      <c r="AB160" t="s">
        <v>275</v>
      </c>
      <c r="AC160">
        <v>9</v>
      </c>
      <c r="AD160">
        <v>4</v>
      </c>
      <c r="AE160">
        <v>2</v>
      </c>
      <c r="AF160">
        <v>4</v>
      </c>
      <c r="AG160">
        <v>3</v>
      </c>
      <c r="AH160">
        <v>3</v>
      </c>
      <c r="AI160" t="s">
        <v>111</v>
      </c>
      <c r="AJ160" t="s">
        <v>274</v>
      </c>
      <c r="AK160">
        <v>28</v>
      </c>
      <c r="AL160">
        <v>70</v>
      </c>
      <c r="AM160" t="s">
        <v>85</v>
      </c>
      <c r="AN160" t="s">
        <v>274</v>
      </c>
      <c r="AO160" t="s">
        <v>111</v>
      </c>
      <c r="AP160" t="s">
        <v>274</v>
      </c>
      <c r="AQ160">
        <v>7</v>
      </c>
      <c r="AR160">
        <v>6</v>
      </c>
      <c r="AS160">
        <v>7</v>
      </c>
      <c r="AT160" t="s">
        <v>266</v>
      </c>
      <c r="AU160">
        <v>40</v>
      </c>
      <c r="AV160" t="s">
        <v>274</v>
      </c>
      <c r="AW160" t="s">
        <v>274</v>
      </c>
      <c r="AX160">
        <v>3</v>
      </c>
      <c r="AY160" t="s">
        <v>274</v>
      </c>
      <c r="AZ160" t="s">
        <v>274</v>
      </c>
      <c r="BA160">
        <v>3</v>
      </c>
      <c r="BB160">
        <v>3</v>
      </c>
      <c r="BC160" t="s">
        <v>274</v>
      </c>
      <c r="BD160">
        <v>3</v>
      </c>
      <c r="BE160">
        <v>6</v>
      </c>
      <c r="BF160">
        <v>28</v>
      </c>
      <c r="BG160" t="s">
        <v>86</v>
      </c>
      <c r="BH160" t="s">
        <v>281</v>
      </c>
      <c r="BI160">
        <v>3</v>
      </c>
      <c r="BJ160">
        <v>3.6</v>
      </c>
      <c r="BK160">
        <v>7.2</v>
      </c>
      <c r="BL160">
        <v>3.8</v>
      </c>
    </row>
    <row r="161" spans="1:64" x14ac:dyDescent="0.25">
      <c r="A161" t="s">
        <v>429</v>
      </c>
      <c r="B161">
        <v>36</v>
      </c>
      <c r="C161" t="s">
        <v>382</v>
      </c>
      <c r="D161" t="s">
        <v>89</v>
      </c>
      <c r="E161" t="s">
        <v>67</v>
      </c>
      <c r="F161" t="s">
        <v>119</v>
      </c>
      <c r="G161" t="s">
        <v>120</v>
      </c>
      <c r="H161" t="s">
        <v>279</v>
      </c>
      <c r="I161" t="s">
        <v>166</v>
      </c>
      <c r="J161" t="s">
        <v>167</v>
      </c>
      <c r="K161" t="s">
        <v>290</v>
      </c>
      <c r="L161">
        <v>3</v>
      </c>
      <c r="M161">
        <v>9</v>
      </c>
      <c r="N161" t="s">
        <v>75</v>
      </c>
      <c r="O161" t="s">
        <v>272</v>
      </c>
      <c r="P161" t="s">
        <v>273</v>
      </c>
      <c r="Q161" t="s">
        <v>101</v>
      </c>
      <c r="R161" t="s">
        <v>111</v>
      </c>
      <c r="S161" t="s">
        <v>111</v>
      </c>
      <c r="T161" t="s">
        <v>274</v>
      </c>
      <c r="U161" t="s">
        <v>80</v>
      </c>
      <c r="V161" t="s">
        <v>274</v>
      </c>
      <c r="W161" t="s">
        <v>111</v>
      </c>
      <c r="X161" t="s">
        <v>313</v>
      </c>
      <c r="Y161">
        <v>7</v>
      </c>
      <c r="Z161">
        <v>8</v>
      </c>
      <c r="AA161" t="s">
        <v>266</v>
      </c>
      <c r="AB161" t="s">
        <v>275</v>
      </c>
      <c r="AC161">
        <v>9</v>
      </c>
      <c r="AD161">
        <v>4</v>
      </c>
      <c r="AE161">
        <v>2</v>
      </c>
      <c r="AF161">
        <v>4</v>
      </c>
      <c r="AG161">
        <v>3</v>
      </c>
      <c r="AH161">
        <v>3</v>
      </c>
      <c r="AI161" t="s">
        <v>111</v>
      </c>
      <c r="AJ161" t="s">
        <v>274</v>
      </c>
      <c r="AK161">
        <v>28</v>
      </c>
      <c r="AL161">
        <v>70</v>
      </c>
      <c r="AM161" t="s">
        <v>85</v>
      </c>
      <c r="AN161" t="s">
        <v>274</v>
      </c>
      <c r="AO161" t="s">
        <v>111</v>
      </c>
      <c r="AP161" t="s">
        <v>274</v>
      </c>
      <c r="AQ161">
        <v>7</v>
      </c>
      <c r="AR161">
        <v>6</v>
      </c>
      <c r="AS161">
        <v>7</v>
      </c>
      <c r="AT161" t="s">
        <v>266</v>
      </c>
      <c r="AU161">
        <v>40</v>
      </c>
      <c r="AV161" t="s">
        <v>274</v>
      </c>
      <c r="AW161" t="s">
        <v>274</v>
      </c>
      <c r="AX161">
        <v>3</v>
      </c>
      <c r="AY161" t="s">
        <v>274</v>
      </c>
      <c r="AZ161" t="s">
        <v>274</v>
      </c>
      <c r="BA161">
        <v>3</v>
      </c>
      <c r="BB161">
        <v>3</v>
      </c>
      <c r="BC161" t="s">
        <v>274</v>
      </c>
      <c r="BD161">
        <v>3</v>
      </c>
      <c r="BE161">
        <v>6</v>
      </c>
      <c r="BF161">
        <v>28</v>
      </c>
      <c r="BG161" t="s">
        <v>86</v>
      </c>
      <c r="BH161" t="s">
        <v>281</v>
      </c>
      <c r="BI161">
        <v>3</v>
      </c>
      <c r="BJ161">
        <v>3.6</v>
      </c>
      <c r="BK161">
        <v>7.2</v>
      </c>
      <c r="BL161">
        <v>3.8</v>
      </c>
    </row>
    <row r="162" spans="1:64" x14ac:dyDescent="0.25">
      <c r="A162" t="s">
        <v>430</v>
      </c>
      <c r="B162">
        <v>47</v>
      </c>
      <c r="C162" t="s">
        <v>382</v>
      </c>
      <c r="D162" t="s">
        <v>66</v>
      </c>
      <c r="E162" t="s">
        <v>114</v>
      </c>
      <c r="F162" t="s">
        <v>228</v>
      </c>
      <c r="G162" t="s">
        <v>229</v>
      </c>
      <c r="H162" t="s">
        <v>124</v>
      </c>
      <c r="I162" t="s">
        <v>166</v>
      </c>
      <c r="J162" t="s">
        <v>72</v>
      </c>
      <c r="K162" t="s">
        <v>290</v>
      </c>
      <c r="L162">
        <v>3.5</v>
      </c>
      <c r="M162">
        <v>9</v>
      </c>
      <c r="N162" t="s">
        <v>135</v>
      </c>
      <c r="O162" t="s">
        <v>74</v>
      </c>
      <c r="P162" t="s">
        <v>273</v>
      </c>
      <c r="Q162" t="s">
        <v>101</v>
      </c>
      <c r="R162" t="s">
        <v>111</v>
      </c>
      <c r="S162" t="s">
        <v>111</v>
      </c>
      <c r="T162" t="s">
        <v>274</v>
      </c>
      <c r="U162" t="s">
        <v>80</v>
      </c>
      <c r="V162" t="s">
        <v>274</v>
      </c>
      <c r="W162" t="s">
        <v>111</v>
      </c>
      <c r="X162" t="s">
        <v>327</v>
      </c>
      <c r="Y162">
        <v>7.5</v>
      </c>
      <c r="Z162">
        <v>7.5</v>
      </c>
      <c r="AA162" t="s">
        <v>266</v>
      </c>
      <c r="AB162" t="s">
        <v>275</v>
      </c>
      <c r="AC162">
        <v>8.5</v>
      </c>
      <c r="AD162">
        <v>4</v>
      </c>
      <c r="AE162">
        <v>2</v>
      </c>
      <c r="AF162">
        <v>4</v>
      </c>
      <c r="AG162">
        <v>4</v>
      </c>
      <c r="AH162">
        <v>3</v>
      </c>
      <c r="AI162" t="s">
        <v>111</v>
      </c>
      <c r="AJ162" t="s">
        <v>274</v>
      </c>
      <c r="AK162">
        <v>26</v>
      </c>
      <c r="AL162">
        <v>65</v>
      </c>
      <c r="AM162" t="s">
        <v>85</v>
      </c>
      <c r="AN162" t="s">
        <v>274</v>
      </c>
      <c r="AO162" t="s">
        <v>111</v>
      </c>
      <c r="AP162" t="s">
        <v>274</v>
      </c>
      <c r="AQ162">
        <v>7</v>
      </c>
      <c r="AR162">
        <v>6</v>
      </c>
      <c r="AS162">
        <v>7</v>
      </c>
      <c r="AT162" t="s">
        <v>266</v>
      </c>
      <c r="AU162">
        <v>38</v>
      </c>
      <c r="AV162" t="s">
        <v>274</v>
      </c>
      <c r="AW162" t="s">
        <v>274</v>
      </c>
      <c r="AX162">
        <v>3</v>
      </c>
      <c r="AY162" t="s">
        <v>274</v>
      </c>
      <c r="AZ162" t="s">
        <v>274</v>
      </c>
      <c r="BA162">
        <v>3</v>
      </c>
      <c r="BB162">
        <v>3</v>
      </c>
      <c r="BC162" t="s">
        <v>274</v>
      </c>
      <c r="BD162">
        <v>3</v>
      </c>
      <c r="BE162">
        <v>6</v>
      </c>
      <c r="BF162">
        <v>28</v>
      </c>
      <c r="BG162" t="s">
        <v>86</v>
      </c>
      <c r="BH162" t="s">
        <v>281</v>
      </c>
      <c r="BI162">
        <v>3.2</v>
      </c>
      <c r="BJ162">
        <v>3.8</v>
      </c>
      <c r="BK162">
        <v>7</v>
      </c>
      <c r="BL162">
        <v>4</v>
      </c>
    </row>
    <row r="163" spans="1:64" x14ac:dyDescent="0.25">
      <c r="A163" t="s">
        <v>431</v>
      </c>
      <c r="B163">
        <v>42</v>
      </c>
      <c r="C163" t="s">
        <v>382</v>
      </c>
      <c r="D163" t="s">
        <v>89</v>
      </c>
      <c r="E163" t="s">
        <v>107</v>
      </c>
      <c r="F163" t="s">
        <v>190</v>
      </c>
      <c r="G163" t="s">
        <v>191</v>
      </c>
      <c r="H163" t="s">
        <v>279</v>
      </c>
      <c r="I163" t="s">
        <v>166</v>
      </c>
      <c r="J163" t="s">
        <v>242</v>
      </c>
      <c r="K163" t="s">
        <v>290</v>
      </c>
      <c r="L163">
        <v>2</v>
      </c>
      <c r="M163">
        <v>12</v>
      </c>
      <c r="N163" t="s">
        <v>272</v>
      </c>
      <c r="O163" t="s">
        <v>130</v>
      </c>
      <c r="P163" t="s">
        <v>273</v>
      </c>
      <c r="Q163" t="s">
        <v>295</v>
      </c>
      <c r="R163" t="s">
        <v>274</v>
      </c>
      <c r="S163" t="s">
        <v>274</v>
      </c>
      <c r="T163" t="s">
        <v>274</v>
      </c>
      <c r="U163" t="s">
        <v>286</v>
      </c>
      <c r="V163" t="s">
        <v>274</v>
      </c>
      <c r="W163" t="s">
        <v>274</v>
      </c>
      <c r="X163" t="s">
        <v>358</v>
      </c>
      <c r="Y163">
        <v>6</v>
      </c>
      <c r="Z163">
        <v>8.5</v>
      </c>
      <c r="AA163" t="s">
        <v>266</v>
      </c>
      <c r="AB163" t="s">
        <v>78</v>
      </c>
      <c r="AC163">
        <v>9.5</v>
      </c>
      <c r="AD163">
        <v>3</v>
      </c>
      <c r="AE163">
        <v>1</v>
      </c>
      <c r="AF163">
        <v>3</v>
      </c>
      <c r="AG163">
        <v>2</v>
      </c>
      <c r="AH163">
        <v>2</v>
      </c>
      <c r="AI163" t="s">
        <v>274</v>
      </c>
      <c r="AJ163" t="s">
        <v>274</v>
      </c>
      <c r="AK163">
        <v>40</v>
      </c>
      <c r="AL163">
        <v>100</v>
      </c>
      <c r="AM163" t="s">
        <v>85</v>
      </c>
      <c r="AN163" t="s">
        <v>274</v>
      </c>
      <c r="AO163" t="s">
        <v>274</v>
      </c>
      <c r="AP163" t="s">
        <v>274</v>
      </c>
      <c r="AQ163">
        <v>9</v>
      </c>
      <c r="AR163">
        <v>8</v>
      </c>
      <c r="AS163">
        <v>9</v>
      </c>
      <c r="AT163" t="s">
        <v>266</v>
      </c>
      <c r="AU163">
        <v>58</v>
      </c>
      <c r="AV163" t="s">
        <v>274</v>
      </c>
      <c r="AW163" t="s">
        <v>274</v>
      </c>
      <c r="AX163">
        <v>2</v>
      </c>
      <c r="AY163" t="s">
        <v>83</v>
      </c>
      <c r="AZ163" t="s">
        <v>274</v>
      </c>
      <c r="BA163">
        <v>2</v>
      </c>
      <c r="BB163">
        <v>2</v>
      </c>
      <c r="BC163" t="s">
        <v>274</v>
      </c>
      <c r="BD163">
        <v>2</v>
      </c>
      <c r="BE163">
        <v>8</v>
      </c>
      <c r="BF163">
        <v>52</v>
      </c>
      <c r="BG163" t="s">
        <v>306</v>
      </c>
      <c r="BH163" t="s">
        <v>281</v>
      </c>
      <c r="BI163">
        <v>1.5</v>
      </c>
      <c r="BJ163">
        <v>2</v>
      </c>
      <c r="BK163">
        <v>9.1999999999999993</v>
      </c>
      <c r="BL163">
        <v>2</v>
      </c>
    </row>
    <row r="164" spans="1:64" x14ac:dyDescent="0.25">
      <c r="A164" t="s">
        <v>432</v>
      </c>
      <c r="B164">
        <v>38</v>
      </c>
      <c r="C164" t="s">
        <v>382</v>
      </c>
      <c r="D164" t="s">
        <v>66</v>
      </c>
      <c r="E164" t="s">
        <v>90</v>
      </c>
      <c r="F164" t="s">
        <v>91</v>
      </c>
      <c r="G164" t="s">
        <v>92</v>
      </c>
      <c r="H164" t="s">
        <v>279</v>
      </c>
      <c r="I164" t="s">
        <v>166</v>
      </c>
      <c r="J164" t="s">
        <v>303</v>
      </c>
      <c r="K164" t="s">
        <v>290</v>
      </c>
      <c r="L164">
        <v>4</v>
      </c>
      <c r="M164">
        <v>10</v>
      </c>
      <c r="N164" t="s">
        <v>168</v>
      </c>
      <c r="O164" t="s">
        <v>214</v>
      </c>
      <c r="P164" t="s">
        <v>100</v>
      </c>
      <c r="Q164" t="s">
        <v>101</v>
      </c>
      <c r="R164" t="s">
        <v>111</v>
      </c>
      <c r="S164" t="s">
        <v>111</v>
      </c>
      <c r="T164" t="s">
        <v>111</v>
      </c>
      <c r="U164" t="s">
        <v>80</v>
      </c>
      <c r="V164" t="s">
        <v>111</v>
      </c>
      <c r="W164" t="s">
        <v>111</v>
      </c>
      <c r="X164" t="s">
        <v>370</v>
      </c>
      <c r="Y164">
        <v>8</v>
      </c>
      <c r="Z164">
        <v>7.5</v>
      </c>
      <c r="AA164" t="s">
        <v>266</v>
      </c>
      <c r="AB164" t="s">
        <v>103</v>
      </c>
      <c r="AC164">
        <v>8.5</v>
      </c>
      <c r="AD164">
        <v>5</v>
      </c>
      <c r="AE164">
        <v>2</v>
      </c>
      <c r="AF164">
        <v>5</v>
      </c>
      <c r="AG164">
        <v>5</v>
      </c>
      <c r="AH164">
        <v>4</v>
      </c>
      <c r="AI164" t="s">
        <v>111</v>
      </c>
      <c r="AJ164" t="s">
        <v>111</v>
      </c>
      <c r="AK164">
        <v>22</v>
      </c>
      <c r="AL164">
        <v>55</v>
      </c>
      <c r="AM164" t="s">
        <v>131</v>
      </c>
      <c r="AN164" t="s">
        <v>111</v>
      </c>
      <c r="AO164" t="s">
        <v>111</v>
      </c>
      <c r="AP164" t="s">
        <v>274</v>
      </c>
      <c r="AQ164">
        <v>5</v>
      </c>
      <c r="AR164">
        <v>5</v>
      </c>
      <c r="AS164">
        <v>5</v>
      </c>
      <c r="AT164" t="s">
        <v>131</v>
      </c>
      <c r="AU164">
        <v>28</v>
      </c>
      <c r="AV164" t="s">
        <v>111</v>
      </c>
      <c r="AW164" t="s">
        <v>111</v>
      </c>
      <c r="AX164">
        <v>4</v>
      </c>
      <c r="AY164" t="s">
        <v>111</v>
      </c>
      <c r="AZ164" t="s">
        <v>111</v>
      </c>
      <c r="BA164">
        <v>4</v>
      </c>
      <c r="BB164">
        <v>4</v>
      </c>
      <c r="BC164" t="s">
        <v>111</v>
      </c>
      <c r="BD164">
        <v>4</v>
      </c>
      <c r="BE164">
        <v>5</v>
      </c>
      <c r="BF164">
        <v>20</v>
      </c>
      <c r="BG164" t="s">
        <v>152</v>
      </c>
      <c r="BH164" t="s">
        <v>171</v>
      </c>
      <c r="BI164">
        <v>4.8</v>
      </c>
      <c r="BJ164">
        <v>5.4</v>
      </c>
      <c r="BK164">
        <v>5.4</v>
      </c>
      <c r="BL164">
        <v>5.8</v>
      </c>
    </row>
    <row r="165" spans="1:64" x14ac:dyDescent="0.25">
      <c r="A165" t="s">
        <v>433</v>
      </c>
      <c r="B165">
        <v>49</v>
      </c>
      <c r="C165" t="s">
        <v>382</v>
      </c>
      <c r="D165" t="s">
        <v>89</v>
      </c>
      <c r="E165" t="s">
        <v>97</v>
      </c>
      <c r="F165" t="s">
        <v>237</v>
      </c>
      <c r="G165" t="s">
        <v>238</v>
      </c>
      <c r="H165" t="s">
        <v>124</v>
      </c>
      <c r="I165" t="s">
        <v>166</v>
      </c>
      <c r="J165" t="s">
        <v>315</v>
      </c>
      <c r="K165" t="s">
        <v>290</v>
      </c>
      <c r="L165">
        <v>2.5</v>
      </c>
      <c r="M165">
        <v>10</v>
      </c>
      <c r="N165" t="s">
        <v>135</v>
      </c>
      <c r="O165" t="s">
        <v>272</v>
      </c>
      <c r="P165" t="s">
        <v>273</v>
      </c>
      <c r="Q165" t="s">
        <v>295</v>
      </c>
      <c r="R165" t="s">
        <v>274</v>
      </c>
      <c r="S165" t="s">
        <v>111</v>
      </c>
      <c r="T165" t="s">
        <v>274</v>
      </c>
      <c r="U165" t="s">
        <v>80</v>
      </c>
      <c r="V165" t="s">
        <v>274</v>
      </c>
      <c r="W165" t="s">
        <v>274</v>
      </c>
      <c r="X165" t="s">
        <v>280</v>
      </c>
      <c r="Y165">
        <v>6.5</v>
      </c>
      <c r="Z165">
        <v>8</v>
      </c>
      <c r="AA165" t="s">
        <v>266</v>
      </c>
      <c r="AB165" t="s">
        <v>275</v>
      </c>
      <c r="AC165">
        <v>9</v>
      </c>
      <c r="AD165">
        <v>3</v>
      </c>
      <c r="AE165">
        <v>2</v>
      </c>
      <c r="AF165">
        <v>3</v>
      </c>
      <c r="AG165">
        <v>3</v>
      </c>
      <c r="AH165">
        <v>2</v>
      </c>
      <c r="AI165" t="s">
        <v>274</v>
      </c>
      <c r="AJ165" t="s">
        <v>274</v>
      </c>
      <c r="AK165">
        <v>35</v>
      </c>
      <c r="AL165">
        <v>88</v>
      </c>
      <c r="AM165" t="s">
        <v>85</v>
      </c>
      <c r="AN165" t="s">
        <v>274</v>
      </c>
      <c r="AO165" t="s">
        <v>274</v>
      </c>
      <c r="AP165" t="s">
        <v>274</v>
      </c>
      <c r="AQ165">
        <v>8</v>
      </c>
      <c r="AR165">
        <v>7</v>
      </c>
      <c r="AS165">
        <v>8</v>
      </c>
      <c r="AT165" t="s">
        <v>266</v>
      </c>
      <c r="AU165">
        <v>50</v>
      </c>
      <c r="AV165" t="s">
        <v>274</v>
      </c>
      <c r="AW165" t="s">
        <v>274</v>
      </c>
      <c r="AX165">
        <v>2</v>
      </c>
      <c r="AY165" t="s">
        <v>274</v>
      </c>
      <c r="AZ165" t="s">
        <v>274</v>
      </c>
      <c r="BA165">
        <v>2</v>
      </c>
      <c r="BB165">
        <v>2</v>
      </c>
      <c r="BC165" t="s">
        <v>274</v>
      </c>
      <c r="BD165">
        <v>2</v>
      </c>
      <c r="BE165">
        <v>7</v>
      </c>
      <c r="BF165">
        <v>40</v>
      </c>
      <c r="BG165" t="s">
        <v>86</v>
      </c>
      <c r="BH165" t="s">
        <v>281</v>
      </c>
      <c r="BI165">
        <v>2.5</v>
      </c>
      <c r="BJ165">
        <v>3</v>
      </c>
      <c r="BK165">
        <v>8</v>
      </c>
      <c r="BL165">
        <v>3</v>
      </c>
    </row>
    <row r="166" spans="1:64" x14ac:dyDescent="0.25">
      <c r="A166" t="s">
        <v>434</v>
      </c>
      <c r="B166">
        <v>44</v>
      </c>
      <c r="C166" t="s">
        <v>382</v>
      </c>
      <c r="D166" t="s">
        <v>66</v>
      </c>
      <c r="E166" t="s">
        <v>67</v>
      </c>
      <c r="F166" t="s">
        <v>195</v>
      </c>
      <c r="G166" t="s">
        <v>196</v>
      </c>
      <c r="H166" t="s">
        <v>124</v>
      </c>
      <c r="I166" t="s">
        <v>166</v>
      </c>
      <c r="J166" t="s">
        <v>285</v>
      </c>
      <c r="K166" t="s">
        <v>290</v>
      </c>
      <c r="L166">
        <v>3.5</v>
      </c>
      <c r="M166">
        <v>9</v>
      </c>
      <c r="N166" t="s">
        <v>135</v>
      </c>
      <c r="O166" t="s">
        <v>75</v>
      </c>
      <c r="P166" t="s">
        <v>273</v>
      </c>
      <c r="Q166" t="s">
        <v>101</v>
      </c>
      <c r="R166" t="s">
        <v>111</v>
      </c>
      <c r="S166" t="s">
        <v>111</v>
      </c>
      <c r="T166" t="s">
        <v>274</v>
      </c>
      <c r="U166" t="s">
        <v>80</v>
      </c>
      <c r="V166" t="s">
        <v>274</v>
      </c>
      <c r="W166" t="s">
        <v>111</v>
      </c>
      <c r="X166" t="s">
        <v>296</v>
      </c>
      <c r="Y166">
        <v>7.5</v>
      </c>
      <c r="Z166">
        <v>7.5</v>
      </c>
      <c r="AA166" t="s">
        <v>266</v>
      </c>
      <c r="AB166" t="s">
        <v>275</v>
      </c>
      <c r="AC166">
        <v>8.5</v>
      </c>
      <c r="AD166">
        <v>4</v>
      </c>
      <c r="AE166">
        <v>2</v>
      </c>
      <c r="AF166">
        <v>4</v>
      </c>
      <c r="AG166">
        <v>4</v>
      </c>
      <c r="AH166">
        <v>3</v>
      </c>
      <c r="AI166" t="s">
        <v>111</v>
      </c>
      <c r="AJ166" t="s">
        <v>274</v>
      </c>
      <c r="AK166">
        <v>26</v>
      </c>
      <c r="AL166">
        <v>65</v>
      </c>
      <c r="AM166" t="s">
        <v>85</v>
      </c>
      <c r="AN166" t="s">
        <v>274</v>
      </c>
      <c r="AO166" t="s">
        <v>111</v>
      </c>
      <c r="AP166" t="s">
        <v>274</v>
      </c>
      <c r="AQ166">
        <v>7</v>
      </c>
      <c r="AR166">
        <v>6</v>
      </c>
      <c r="AS166">
        <v>7</v>
      </c>
      <c r="AT166" t="s">
        <v>266</v>
      </c>
      <c r="AU166">
        <v>38</v>
      </c>
      <c r="AV166" t="s">
        <v>274</v>
      </c>
      <c r="AW166" t="s">
        <v>274</v>
      </c>
      <c r="AX166">
        <v>3</v>
      </c>
      <c r="AY166" t="s">
        <v>274</v>
      </c>
      <c r="AZ166" t="s">
        <v>274</v>
      </c>
      <c r="BA166">
        <v>3</v>
      </c>
      <c r="BB166">
        <v>3</v>
      </c>
      <c r="BC166" t="s">
        <v>274</v>
      </c>
      <c r="BD166">
        <v>3</v>
      </c>
      <c r="BE166">
        <v>6</v>
      </c>
      <c r="BF166">
        <v>28</v>
      </c>
      <c r="BG166" t="s">
        <v>86</v>
      </c>
      <c r="BH166" t="s">
        <v>281</v>
      </c>
      <c r="BI166">
        <v>3.2</v>
      </c>
      <c r="BJ166">
        <v>3.8</v>
      </c>
      <c r="BK166">
        <v>7</v>
      </c>
      <c r="BL166">
        <v>4</v>
      </c>
    </row>
    <row r="167" spans="1:64" x14ac:dyDescent="0.25">
      <c r="A167" t="s">
        <v>435</v>
      </c>
      <c r="B167">
        <v>39</v>
      </c>
      <c r="C167" t="s">
        <v>382</v>
      </c>
      <c r="D167" t="s">
        <v>89</v>
      </c>
      <c r="E167" t="s">
        <v>90</v>
      </c>
      <c r="F167" t="s">
        <v>157</v>
      </c>
      <c r="G167" t="s">
        <v>158</v>
      </c>
      <c r="H167" t="s">
        <v>279</v>
      </c>
      <c r="I167" t="s">
        <v>166</v>
      </c>
      <c r="J167" t="s">
        <v>167</v>
      </c>
      <c r="K167" t="s">
        <v>290</v>
      </c>
      <c r="L167">
        <v>2.5</v>
      </c>
      <c r="M167">
        <v>10</v>
      </c>
      <c r="N167" t="s">
        <v>75</v>
      </c>
      <c r="O167" t="s">
        <v>272</v>
      </c>
      <c r="P167" t="s">
        <v>273</v>
      </c>
      <c r="Q167" t="s">
        <v>295</v>
      </c>
      <c r="R167" t="s">
        <v>274</v>
      </c>
      <c r="S167" t="s">
        <v>274</v>
      </c>
      <c r="T167" t="s">
        <v>274</v>
      </c>
      <c r="U167" t="s">
        <v>286</v>
      </c>
      <c r="V167" t="s">
        <v>274</v>
      </c>
      <c r="W167" t="s">
        <v>274</v>
      </c>
      <c r="X167" t="s">
        <v>313</v>
      </c>
      <c r="Y167">
        <v>6.5</v>
      </c>
      <c r="Z167">
        <v>8</v>
      </c>
      <c r="AA167" t="s">
        <v>266</v>
      </c>
      <c r="AB167" t="s">
        <v>78</v>
      </c>
      <c r="AC167">
        <v>9.5</v>
      </c>
      <c r="AD167">
        <v>3</v>
      </c>
      <c r="AE167">
        <v>2</v>
      </c>
      <c r="AF167">
        <v>3</v>
      </c>
      <c r="AG167">
        <v>2</v>
      </c>
      <c r="AH167">
        <v>2</v>
      </c>
      <c r="AI167" t="s">
        <v>274</v>
      </c>
      <c r="AJ167" t="s">
        <v>274</v>
      </c>
      <c r="AK167">
        <v>38</v>
      </c>
      <c r="AL167">
        <v>95</v>
      </c>
      <c r="AM167" t="s">
        <v>85</v>
      </c>
      <c r="AN167" t="s">
        <v>274</v>
      </c>
      <c r="AO167" t="s">
        <v>274</v>
      </c>
      <c r="AP167" t="s">
        <v>274</v>
      </c>
      <c r="AQ167">
        <v>9</v>
      </c>
      <c r="AR167">
        <v>8</v>
      </c>
      <c r="AS167">
        <v>9</v>
      </c>
      <c r="AT167" t="s">
        <v>266</v>
      </c>
      <c r="AU167">
        <v>55</v>
      </c>
      <c r="AV167" t="s">
        <v>274</v>
      </c>
      <c r="AW167" t="s">
        <v>274</v>
      </c>
      <c r="AX167">
        <v>2</v>
      </c>
      <c r="AY167" t="s">
        <v>83</v>
      </c>
      <c r="AZ167" t="s">
        <v>274</v>
      </c>
      <c r="BA167">
        <v>2</v>
      </c>
      <c r="BB167">
        <v>2</v>
      </c>
      <c r="BC167" t="s">
        <v>274</v>
      </c>
      <c r="BD167">
        <v>2</v>
      </c>
      <c r="BE167">
        <v>8</v>
      </c>
      <c r="BF167">
        <v>48</v>
      </c>
      <c r="BG167" t="s">
        <v>306</v>
      </c>
      <c r="BH167" t="s">
        <v>281</v>
      </c>
      <c r="BI167">
        <v>1.8</v>
      </c>
      <c r="BJ167">
        <v>2.4</v>
      </c>
      <c r="BK167">
        <v>8.8000000000000007</v>
      </c>
      <c r="BL167">
        <v>2.2000000000000002</v>
      </c>
    </row>
    <row r="168" spans="1:64" x14ac:dyDescent="0.25">
      <c r="A168" t="s">
        <v>436</v>
      </c>
      <c r="B168">
        <v>45</v>
      </c>
      <c r="C168" t="s">
        <v>382</v>
      </c>
      <c r="D168" t="s">
        <v>66</v>
      </c>
      <c r="E168" t="s">
        <v>107</v>
      </c>
      <c r="F168" t="s">
        <v>108</v>
      </c>
      <c r="G168" t="s">
        <v>109</v>
      </c>
      <c r="H168" t="s">
        <v>279</v>
      </c>
      <c r="I168" t="s">
        <v>166</v>
      </c>
      <c r="J168" t="s">
        <v>311</v>
      </c>
      <c r="K168" t="s">
        <v>290</v>
      </c>
      <c r="L168">
        <v>2</v>
      </c>
      <c r="M168">
        <v>12</v>
      </c>
      <c r="N168" t="s">
        <v>272</v>
      </c>
      <c r="O168" t="s">
        <v>130</v>
      </c>
      <c r="P168" t="s">
        <v>273</v>
      </c>
      <c r="Q168" t="s">
        <v>295</v>
      </c>
      <c r="R168" t="s">
        <v>274</v>
      </c>
      <c r="S168" t="s">
        <v>274</v>
      </c>
      <c r="T168" t="s">
        <v>274</v>
      </c>
      <c r="U168" t="s">
        <v>286</v>
      </c>
      <c r="V168" t="s">
        <v>274</v>
      </c>
      <c r="W168" t="s">
        <v>274</v>
      </c>
      <c r="X168" t="s">
        <v>392</v>
      </c>
      <c r="Y168">
        <v>6</v>
      </c>
      <c r="Z168">
        <v>8.5</v>
      </c>
      <c r="AA168" t="s">
        <v>266</v>
      </c>
      <c r="AB168" t="s">
        <v>78</v>
      </c>
      <c r="AC168">
        <v>9.5</v>
      </c>
      <c r="AD168">
        <v>3</v>
      </c>
      <c r="AE168">
        <v>1</v>
      </c>
      <c r="AF168">
        <v>3</v>
      </c>
      <c r="AG168">
        <v>2</v>
      </c>
      <c r="AH168">
        <v>2</v>
      </c>
      <c r="AI168" t="s">
        <v>274</v>
      </c>
      <c r="AJ168" t="s">
        <v>274</v>
      </c>
      <c r="AK168">
        <v>40</v>
      </c>
      <c r="AL168">
        <v>100</v>
      </c>
      <c r="AM168" t="s">
        <v>85</v>
      </c>
      <c r="AN168" t="s">
        <v>274</v>
      </c>
      <c r="AO168" t="s">
        <v>274</v>
      </c>
      <c r="AP168" t="s">
        <v>274</v>
      </c>
      <c r="AQ168">
        <v>9</v>
      </c>
      <c r="AR168">
        <v>8</v>
      </c>
      <c r="AS168">
        <v>9</v>
      </c>
      <c r="AT168" t="s">
        <v>266</v>
      </c>
      <c r="AU168">
        <v>58</v>
      </c>
      <c r="AV168" t="s">
        <v>274</v>
      </c>
      <c r="AW168" t="s">
        <v>274</v>
      </c>
      <c r="AX168">
        <v>2</v>
      </c>
      <c r="AY168" t="s">
        <v>83</v>
      </c>
      <c r="AZ168" t="s">
        <v>274</v>
      </c>
      <c r="BA168">
        <v>2</v>
      </c>
      <c r="BB168">
        <v>2</v>
      </c>
      <c r="BC168" t="s">
        <v>274</v>
      </c>
      <c r="BD168">
        <v>2</v>
      </c>
      <c r="BE168">
        <v>8</v>
      </c>
      <c r="BF168">
        <v>55</v>
      </c>
      <c r="BG168" t="s">
        <v>306</v>
      </c>
      <c r="BH168" t="s">
        <v>281</v>
      </c>
      <c r="BI168">
        <v>1.5</v>
      </c>
      <c r="BJ168">
        <v>2</v>
      </c>
      <c r="BK168">
        <v>9.1999999999999993</v>
      </c>
      <c r="BL168">
        <v>2</v>
      </c>
    </row>
    <row r="169" spans="1:64" x14ac:dyDescent="0.25">
      <c r="A169" t="s">
        <v>437</v>
      </c>
      <c r="B169">
        <v>41</v>
      </c>
      <c r="C169" t="s">
        <v>382</v>
      </c>
      <c r="D169" t="s">
        <v>89</v>
      </c>
      <c r="E169" t="s">
        <v>114</v>
      </c>
      <c r="F169" t="s">
        <v>173</v>
      </c>
      <c r="G169" t="s">
        <v>174</v>
      </c>
      <c r="H169" t="s">
        <v>124</v>
      </c>
      <c r="I169" t="s">
        <v>166</v>
      </c>
      <c r="J169" t="s">
        <v>264</v>
      </c>
      <c r="K169" t="s">
        <v>290</v>
      </c>
      <c r="L169">
        <v>3</v>
      </c>
      <c r="M169">
        <v>9</v>
      </c>
      <c r="N169" t="s">
        <v>74</v>
      </c>
      <c r="O169" t="s">
        <v>135</v>
      </c>
      <c r="P169" t="s">
        <v>273</v>
      </c>
      <c r="Q169" t="s">
        <v>101</v>
      </c>
      <c r="R169" t="s">
        <v>111</v>
      </c>
      <c r="S169" t="s">
        <v>111</v>
      </c>
      <c r="T169" t="s">
        <v>274</v>
      </c>
      <c r="U169" t="s">
        <v>80</v>
      </c>
      <c r="V169" t="s">
        <v>274</v>
      </c>
      <c r="W169" t="s">
        <v>111</v>
      </c>
      <c r="X169" t="s">
        <v>361</v>
      </c>
      <c r="Y169">
        <v>7</v>
      </c>
      <c r="Z169">
        <v>8</v>
      </c>
      <c r="AA169" t="s">
        <v>266</v>
      </c>
      <c r="AB169" t="s">
        <v>275</v>
      </c>
      <c r="AC169">
        <v>8.5</v>
      </c>
      <c r="AD169">
        <v>4</v>
      </c>
      <c r="AE169">
        <v>2</v>
      </c>
      <c r="AF169">
        <v>4</v>
      </c>
      <c r="AG169">
        <v>3</v>
      </c>
      <c r="AH169">
        <v>3</v>
      </c>
      <c r="AI169" t="s">
        <v>111</v>
      </c>
      <c r="AJ169" t="s">
        <v>274</v>
      </c>
      <c r="AK169">
        <v>28</v>
      </c>
      <c r="AL169">
        <v>70</v>
      </c>
      <c r="AM169" t="s">
        <v>85</v>
      </c>
      <c r="AN169" t="s">
        <v>274</v>
      </c>
      <c r="AO169" t="s">
        <v>111</v>
      </c>
      <c r="AP169" t="s">
        <v>274</v>
      </c>
      <c r="AQ169">
        <v>7</v>
      </c>
      <c r="AR169">
        <v>6</v>
      </c>
      <c r="AS169">
        <v>7</v>
      </c>
      <c r="AT169" t="s">
        <v>266</v>
      </c>
      <c r="AU169">
        <v>40</v>
      </c>
      <c r="AV169" t="s">
        <v>274</v>
      </c>
      <c r="AW169" t="s">
        <v>274</v>
      </c>
      <c r="AX169">
        <v>3</v>
      </c>
      <c r="AY169" t="s">
        <v>274</v>
      </c>
      <c r="AZ169" t="s">
        <v>274</v>
      </c>
      <c r="BA169">
        <v>3</v>
      </c>
      <c r="BB169">
        <v>3</v>
      </c>
      <c r="BC169" t="s">
        <v>274</v>
      </c>
      <c r="BD169">
        <v>3</v>
      </c>
      <c r="BE169">
        <v>6</v>
      </c>
      <c r="BF169">
        <v>28</v>
      </c>
      <c r="BG169" t="s">
        <v>86</v>
      </c>
      <c r="BH169" t="s">
        <v>281</v>
      </c>
      <c r="BI169">
        <v>3</v>
      </c>
      <c r="BJ169">
        <v>3.6</v>
      </c>
      <c r="BK169">
        <v>7.2</v>
      </c>
      <c r="BL169">
        <v>3.8</v>
      </c>
    </row>
    <row r="170" spans="1:64" x14ac:dyDescent="0.25">
      <c r="A170" t="s">
        <v>438</v>
      </c>
      <c r="B170">
        <v>48</v>
      </c>
      <c r="C170" t="s">
        <v>382</v>
      </c>
      <c r="D170" t="s">
        <v>66</v>
      </c>
      <c r="E170" t="s">
        <v>97</v>
      </c>
      <c r="F170" t="s">
        <v>257</v>
      </c>
      <c r="G170" t="s">
        <v>258</v>
      </c>
      <c r="H170" t="s">
        <v>124</v>
      </c>
      <c r="I170" t="s">
        <v>166</v>
      </c>
      <c r="J170" t="s">
        <v>72</v>
      </c>
      <c r="K170" t="s">
        <v>290</v>
      </c>
      <c r="L170">
        <v>3.5</v>
      </c>
      <c r="M170">
        <v>8</v>
      </c>
      <c r="N170" t="s">
        <v>135</v>
      </c>
      <c r="O170" t="s">
        <v>75</v>
      </c>
      <c r="P170" t="s">
        <v>273</v>
      </c>
      <c r="Q170" t="s">
        <v>101</v>
      </c>
      <c r="R170" t="s">
        <v>111</v>
      </c>
      <c r="S170" t="s">
        <v>111</v>
      </c>
      <c r="T170" t="s">
        <v>274</v>
      </c>
      <c r="U170" t="s">
        <v>80</v>
      </c>
      <c r="V170" t="s">
        <v>274</v>
      </c>
      <c r="W170" t="s">
        <v>111</v>
      </c>
      <c r="X170" t="s">
        <v>327</v>
      </c>
      <c r="Y170">
        <v>7.5</v>
      </c>
      <c r="Z170">
        <v>7.5</v>
      </c>
      <c r="AA170" t="s">
        <v>266</v>
      </c>
      <c r="AB170" t="s">
        <v>275</v>
      </c>
      <c r="AC170">
        <v>8.5</v>
      </c>
      <c r="AD170">
        <v>4</v>
      </c>
      <c r="AE170">
        <v>2</v>
      </c>
      <c r="AF170">
        <v>4</v>
      </c>
      <c r="AG170">
        <v>4</v>
      </c>
      <c r="AH170">
        <v>3</v>
      </c>
      <c r="AI170" t="s">
        <v>111</v>
      </c>
      <c r="AJ170" t="s">
        <v>274</v>
      </c>
      <c r="AK170">
        <v>26</v>
      </c>
      <c r="AL170">
        <v>65</v>
      </c>
      <c r="AM170" t="s">
        <v>85</v>
      </c>
      <c r="AN170" t="s">
        <v>274</v>
      </c>
      <c r="AO170" t="s">
        <v>111</v>
      </c>
      <c r="AP170" t="s">
        <v>274</v>
      </c>
      <c r="AQ170">
        <v>7</v>
      </c>
      <c r="AR170">
        <v>6</v>
      </c>
      <c r="AS170">
        <v>7</v>
      </c>
      <c r="AT170" t="s">
        <v>266</v>
      </c>
      <c r="AU170">
        <v>38</v>
      </c>
      <c r="AV170" t="s">
        <v>274</v>
      </c>
      <c r="AW170" t="s">
        <v>274</v>
      </c>
      <c r="AX170">
        <v>3</v>
      </c>
      <c r="AY170" t="s">
        <v>274</v>
      </c>
      <c r="AZ170" t="s">
        <v>274</v>
      </c>
      <c r="BA170">
        <v>3</v>
      </c>
      <c r="BB170">
        <v>3</v>
      </c>
      <c r="BC170" t="s">
        <v>274</v>
      </c>
      <c r="BD170">
        <v>3</v>
      </c>
      <c r="BE170">
        <v>6</v>
      </c>
      <c r="BF170">
        <v>28</v>
      </c>
      <c r="BG170" t="s">
        <v>86</v>
      </c>
      <c r="BH170" t="s">
        <v>281</v>
      </c>
      <c r="BI170">
        <v>3.2</v>
      </c>
      <c r="BJ170">
        <v>3.8</v>
      </c>
      <c r="BK170">
        <v>7</v>
      </c>
      <c r="BL170">
        <v>4</v>
      </c>
    </row>
    <row r="171" spans="1:64" x14ac:dyDescent="0.25">
      <c r="A171" t="s">
        <v>439</v>
      </c>
      <c r="B171">
        <v>37</v>
      </c>
      <c r="C171" t="s">
        <v>382</v>
      </c>
      <c r="D171" t="s">
        <v>89</v>
      </c>
      <c r="E171" t="s">
        <v>149</v>
      </c>
      <c r="F171" t="s">
        <v>150</v>
      </c>
      <c r="G171" t="s">
        <v>151</v>
      </c>
      <c r="H171" t="s">
        <v>124</v>
      </c>
      <c r="I171" t="s">
        <v>166</v>
      </c>
      <c r="J171" t="s">
        <v>242</v>
      </c>
      <c r="K171" t="s">
        <v>290</v>
      </c>
      <c r="L171">
        <v>3.5</v>
      </c>
      <c r="M171">
        <v>9</v>
      </c>
      <c r="N171" t="s">
        <v>74</v>
      </c>
      <c r="O171" t="s">
        <v>440</v>
      </c>
      <c r="P171" t="s">
        <v>273</v>
      </c>
      <c r="Q171" t="s">
        <v>101</v>
      </c>
      <c r="R171" t="s">
        <v>111</v>
      </c>
      <c r="S171" t="s">
        <v>111</v>
      </c>
      <c r="T171" t="s">
        <v>111</v>
      </c>
      <c r="U171" t="s">
        <v>80</v>
      </c>
      <c r="V171" t="s">
        <v>111</v>
      </c>
      <c r="W171" t="s">
        <v>111</v>
      </c>
      <c r="X171" t="s">
        <v>390</v>
      </c>
      <c r="Y171">
        <v>7.5</v>
      </c>
      <c r="Z171">
        <v>7.5</v>
      </c>
      <c r="AA171" t="s">
        <v>266</v>
      </c>
      <c r="AB171" t="s">
        <v>103</v>
      </c>
      <c r="AC171">
        <v>9</v>
      </c>
      <c r="AD171">
        <v>4</v>
      </c>
      <c r="AE171">
        <v>2</v>
      </c>
      <c r="AF171">
        <v>4</v>
      </c>
      <c r="AG171">
        <v>4</v>
      </c>
      <c r="AH171">
        <v>3</v>
      </c>
      <c r="AI171" t="s">
        <v>111</v>
      </c>
      <c r="AJ171" t="s">
        <v>111</v>
      </c>
      <c r="AK171">
        <v>24</v>
      </c>
      <c r="AL171">
        <v>60</v>
      </c>
      <c r="AM171" t="s">
        <v>85</v>
      </c>
      <c r="AN171" t="s">
        <v>111</v>
      </c>
      <c r="AO171" t="s">
        <v>111</v>
      </c>
      <c r="AP171" t="s">
        <v>274</v>
      </c>
      <c r="AQ171">
        <v>6</v>
      </c>
      <c r="AR171">
        <v>6</v>
      </c>
      <c r="AS171">
        <v>6</v>
      </c>
      <c r="AT171" t="s">
        <v>266</v>
      </c>
      <c r="AU171">
        <v>34</v>
      </c>
      <c r="AV171" t="s">
        <v>111</v>
      </c>
      <c r="AW171" t="s">
        <v>274</v>
      </c>
      <c r="AX171">
        <v>3</v>
      </c>
      <c r="AY171" t="s">
        <v>274</v>
      </c>
      <c r="AZ171" t="s">
        <v>111</v>
      </c>
      <c r="BA171">
        <v>3</v>
      </c>
      <c r="BB171">
        <v>3</v>
      </c>
      <c r="BC171" t="s">
        <v>274</v>
      </c>
      <c r="BD171">
        <v>3</v>
      </c>
      <c r="BE171">
        <v>6</v>
      </c>
      <c r="BF171">
        <v>26</v>
      </c>
      <c r="BG171" t="s">
        <v>86</v>
      </c>
      <c r="BH171" t="s">
        <v>281</v>
      </c>
      <c r="BI171">
        <v>3.2</v>
      </c>
      <c r="BJ171">
        <v>3.8</v>
      </c>
      <c r="BK171">
        <v>7</v>
      </c>
      <c r="BL171">
        <v>4</v>
      </c>
    </row>
    <row r="172" spans="1:64" x14ac:dyDescent="0.25">
      <c r="A172" t="s">
        <v>441</v>
      </c>
      <c r="B172">
        <v>43</v>
      </c>
      <c r="C172" t="s">
        <v>382</v>
      </c>
      <c r="D172" t="s">
        <v>66</v>
      </c>
      <c r="E172" t="s">
        <v>90</v>
      </c>
      <c r="F172" t="s">
        <v>128</v>
      </c>
      <c r="G172" t="s">
        <v>129</v>
      </c>
      <c r="H172" t="s">
        <v>279</v>
      </c>
      <c r="I172" t="s">
        <v>166</v>
      </c>
      <c r="J172" t="s">
        <v>285</v>
      </c>
      <c r="K172" t="s">
        <v>290</v>
      </c>
      <c r="L172">
        <v>2.5</v>
      </c>
      <c r="M172">
        <v>11</v>
      </c>
      <c r="N172" t="s">
        <v>74</v>
      </c>
      <c r="O172" t="s">
        <v>75</v>
      </c>
      <c r="P172" t="s">
        <v>273</v>
      </c>
      <c r="Q172" t="s">
        <v>295</v>
      </c>
      <c r="R172" t="s">
        <v>274</v>
      </c>
      <c r="S172" t="s">
        <v>274</v>
      </c>
      <c r="T172" t="s">
        <v>274</v>
      </c>
      <c r="U172" t="s">
        <v>286</v>
      </c>
      <c r="V172" t="s">
        <v>274</v>
      </c>
      <c r="W172" t="s">
        <v>274</v>
      </c>
      <c r="X172" t="s">
        <v>374</v>
      </c>
      <c r="Y172">
        <v>6.5</v>
      </c>
      <c r="Z172">
        <v>8</v>
      </c>
      <c r="AA172" t="s">
        <v>266</v>
      </c>
      <c r="AB172" t="s">
        <v>78</v>
      </c>
      <c r="AC172">
        <v>9</v>
      </c>
      <c r="AD172">
        <v>3</v>
      </c>
      <c r="AE172">
        <v>1</v>
      </c>
      <c r="AF172">
        <v>3</v>
      </c>
      <c r="AG172">
        <v>2</v>
      </c>
      <c r="AH172">
        <v>2</v>
      </c>
      <c r="AI172" t="s">
        <v>274</v>
      </c>
      <c r="AJ172" t="s">
        <v>274</v>
      </c>
      <c r="AK172">
        <v>38</v>
      </c>
      <c r="AL172">
        <v>95</v>
      </c>
      <c r="AM172" t="s">
        <v>85</v>
      </c>
      <c r="AN172" t="s">
        <v>274</v>
      </c>
      <c r="AO172" t="s">
        <v>274</v>
      </c>
      <c r="AP172" t="s">
        <v>274</v>
      </c>
      <c r="AQ172">
        <v>9</v>
      </c>
      <c r="AR172">
        <v>8</v>
      </c>
      <c r="AS172">
        <v>9</v>
      </c>
      <c r="AT172" t="s">
        <v>266</v>
      </c>
      <c r="AU172">
        <v>55</v>
      </c>
      <c r="AV172" t="s">
        <v>274</v>
      </c>
      <c r="AW172" t="s">
        <v>274</v>
      </c>
      <c r="AX172">
        <v>2</v>
      </c>
      <c r="AY172" t="s">
        <v>83</v>
      </c>
      <c r="AZ172" t="s">
        <v>274</v>
      </c>
      <c r="BA172">
        <v>2</v>
      </c>
      <c r="BB172">
        <v>2</v>
      </c>
      <c r="BC172" t="s">
        <v>274</v>
      </c>
      <c r="BD172">
        <v>2</v>
      </c>
      <c r="BE172">
        <v>8</v>
      </c>
      <c r="BF172">
        <v>48</v>
      </c>
      <c r="BG172" t="s">
        <v>306</v>
      </c>
      <c r="BH172" t="s">
        <v>281</v>
      </c>
      <c r="BI172">
        <v>1.8</v>
      </c>
      <c r="BJ172">
        <v>2.4</v>
      </c>
      <c r="BK172">
        <v>8.8000000000000007</v>
      </c>
      <c r="BL172">
        <v>2.2000000000000002</v>
      </c>
    </row>
    <row r="173" spans="1:64" x14ac:dyDescent="0.25">
      <c r="A173" t="s">
        <v>442</v>
      </c>
      <c r="B173">
        <v>40</v>
      </c>
      <c r="C173" t="s">
        <v>382</v>
      </c>
      <c r="D173" t="s">
        <v>89</v>
      </c>
      <c r="E173" t="s">
        <v>107</v>
      </c>
      <c r="F173" t="s">
        <v>122</v>
      </c>
      <c r="G173" t="s">
        <v>123</v>
      </c>
      <c r="H173" t="s">
        <v>279</v>
      </c>
      <c r="I173" t="s">
        <v>166</v>
      </c>
      <c r="J173" t="s">
        <v>289</v>
      </c>
      <c r="K173" t="s">
        <v>290</v>
      </c>
      <c r="L173">
        <v>2</v>
      </c>
      <c r="M173">
        <v>12</v>
      </c>
      <c r="N173" t="s">
        <v>272</v>
      </c>
      <c r="O173" t="s">
        <v>75</v>
      </c>
      <c r="P173" t="s">
        <v>273</v>
      </c>
      <c r="Q173" t="s">
        <v>295</v>
      </c>
      <c r="R173" t="s">
        <v>274</v>
      </c>
      <c r="S173" t="s">
        <v>274</v>
      </c>
      <c r="T173" t="s">
        <v>274</v>
      </c>
      <c r="U173" t="s">
        <v>286</v>
      </c>
      <c r="V173" t="s">
        <v>274</v>
      </c>
      <c r="W173" t="s">
        <v>274</v>
      </c>
      <c r="X173" t="s">
        <v>313</v>
      </c>
      <c r="Y173">
        <v>6</v>
      </c>
      <c r="Z173">
        <v>8.5</v>
      </c>
      <c r="AA173" t="s">
        <v>266</v>
      </c>
      <c r="AB173" t="s">
        <v>78</v>
      </c>
      <c r="AC173">
        <v>9.5</v>
      </c>
      <c r="AD173">
        <v>3</v>
      </c>
      <c r="AE173">
        <v>1</v>
      </c>
      <c r="AF173">
        <v>3</v>
      </c>
      <c r="AG173">
        <v>2</v>
      </c>
      <c r="AH173">
        <v>2</v>
      </c>
      <c r="AI173" t="s">
        <v>274</v>
      </c>
      <c r="AJ173" t="s">
        <v>274</v>
      </c>
      <c r="AK173">
        <v>40</v>
      </c>
      <c r="AL173">
        <v>100</v>
      </c>
      <c r="AM173" t="s">
        <v>85</v>
      </c>
      <c r="AN173" t="s">
        <v>274</v>
      </c>
      <c r="AO173" t="s">
        <v>274</v>
      </c>
      <c r="AP173" t="s">
        <v>274</v>
      </c>
      <c r="AQ173">
        <v>9</v>
      </c>
      <c r="AR173">
        <v>8</v>
      </c>
      <c r="AS173">
        <v>9</v>
      </c>
      <c r="AT173" t="s">
        <v>266</v>
      </c>
      <c r="AU173">
        <v>58</v>
      </c>
      <c r="AV173" t="s">
        <v>274</v>
      </c>
      <c r="AW173" t="s">
        <v>274</v>
      </c>
      <c r="AX173">
        <v>2</v>
      </c>
      <c r="AY173" t="s">
        <v>83</v>
      </c>
      <c r="AZ173" t="s">
        <v>274</v>
      </c>
      <c r="BA173">
        <v>2</v>
      </c>
      <c r="BB173">
        <v>2</v>
      </c>
      <c r="BC173" t="s">
        <v>274</v>
      </c>
      <c r="BD173">
        <v>2</v>
      </c>
      <c r="BE173">
        <v>8</v>
      </c>
      <c r="BF173">
        <v>52</v>
      </c>
      <c r="BG173" t="s">
        <v>306</v>
      </c>
      <c r="BH173" t="s">
        <v>281</v>
      </c>
      <c r="BI173">
        <v>1.5</v>
      </c>
      <c r="BJ173">
        <v>2</v>
      </c>
      <c r="BK173">
        <v>9.1999999999999993</v>
      </c>
      <c r="BL173">
        <v>2</v>
      </c>
    </row>
    <row r="174" spans="1:64" x14ac:dyDescent="0.25">
      <c r="A174" t="s">
        <v>443</v>
      </c>
      <c r="B174">
        <v>46</v>
      </c>
      <c r="C174" t="s">
        <v>382</v>
      </c>
      <c r="D174" t="s">
        <v>66</v>
      </c>
      <c r="E174" t="s">
        <v>67</v>
      </c>
      <c r="F174" t="s">
        <v>68</v>
      </c>
      <c r="G174" t="s">
        <v>69</v>
      </c>
      <c r="H174" t="s">
        <v>279</v>
      </c>
      <c r="I174" t="s">
        <v>166</v>
      </c>
      <c r="J174" t="s">
        <v>315</v>
      </c>
      <c r="K174" t="s">
        <v>290</v>
      </c>
      <c r="L174">
        <v>3</v>
      </c>
      <c r="M174">
        <v>12</v>
      </c>
      <c r="N174" t="s">
        <v>135</v>
      </c>
      <c r="O174" t="s">
        <v>75</v>
      </c>
      <c r="P174" t="s">
        <v>273</v>
      </c>
      <c r="Q174" t="s">
        <v>295</v>
      </c>
      <c r="R174" t="s">
        <v>274</v>
      </c>
      <c r="S174" t="s">
        <v>111</v>
      </c>
      <c r="T174" t="s">
        <v>274</v>
      </c>
      <c r="U174" t="s">
        <v>80</v>
      </c>
      <c r="V174" t="s">
        <v>274</v>
      </c>
      <c r="W174" t="s">
        <v>274</v>
      </c>
      <c r="X174" t="s">
        <v>428</v>
      </c>
      <c r="Y174">
        <v>7</v>
      </c>
      <c r="Z174">
        <v>8</v>
      </c>
      <c r="AA174" t="s">
        <v>266</v>
      </c>
      <c r="AB174" t="s">
        <v>275</v>
      </c>
      <c r="AC174">
        <v>8.5</v>
      </c>
      <c r="AD174">
        <v>4</v>
      </c>
      <c r="AE174">
        <v>2</v>
      </c>
      <c r="AF174">
        <v>4</v>
      </c>
      <c r="AG174">
        <v>3</v>
      </c>
      <c r="AH174">
        <v>3</v>
      </c>
      <c r="AI174" t="s">
        <v>111</v>
      </c>
      <c r="AJ174" t="s">
        <v>274</v>
      </c>
      <c r="AK174">
        <v>28</v>
      </c>
      <c r="AL174">
        <v>70</v>
      </c>
      <c r="AM174" t="s">
        <v>85</v>
      </c>
      <c r="AN174" t="s">
        <v>274</v>
      </c>
      <c r="AO174" t="s">
        <v>111</v>
      </c>
      <c r="AP174" t="s">
        <v>274</v>
      </c>
      <c r="AQ174">
        <v>7</v>
      </c>
      <c r="AR174">
        <v>6</v>
      </c>
      <c r="AS174">
        <v>7</v>
      </c>
      <c r="AT174" t="s">
        <v>266</v>
      </c>
      <c r="AU174">
        <v>40</v>
      </c>
      <c r="AV174" t="s">
        <v>274</v>
      </c>
      <c r="AW174" t="s">
        <v>274</v>
      </c>
      <c r="AX174">
        <v>3</v>
      </c>
      <c r="AY174" t="s">
        <v>274</v>
      </c>
      <c r="AZ174" t="s">
        <v>274</v>
      </c>
      <c r="BA174">
        <v>3</v>
      </c>
      <c r="BB174">
        <v>3</v>
      </c>
      <c r="BC174" t="s">
        <v>274</v>
      </c>
      <c r="BD174">
        <v>3</v>
      </c>
      <c r="BE174">
        <v>6</v>
      </c>
      <c r="BF174">
        <v>30</v>
      </c>
      <c r="BG174" t="s">
        <v>86</v>
      </c>
      <c r="BH174" t="s">
        <v>281</v>
      </c>
      <c r="BI174">
        <v>3</v>
      </c>
      <c r="BJ174">
        <v>3.6</v>
      </c>
      <c r="BK174">
        <v>7.2</v>
      </c>
      <c r="BL174">
        <v>3.8</v>
      </c>
    </row>
    <row r="175" spans="1:64" x14ac:dyDescent="0.25">
      <c r="A175" t="s">
        <v>444</v>
      </c>
      <c r="B175">
        <v>42</v>
      </c>
      <c r="C175" t="s">
        <v>382</v>
      </c>
      <c r="D175" t="s">
        <v>89</v>
      </c>
      <c r="E175" t="s">
        <v>97</v>
      </c>
      <c r="F175" t="s">
        <v>98</v>
      </c>
      <c r="G175" t="s">
        <v>99</v>
      </c>
      <c r="H175" t="s">
        <v>124</v>
      </c>
      <c r="I175" t="s">
        <v>166</v>
      </c>
      <c r="J175" t="s">
        <v>285</v>
      </c>
      <c r="K175" t="s">
        <v>290</v>
      </c>
      <c r="L175">
        <v>3.5</v>
      </c>
      <c r="M175">
        <v>9</v>
      </c>
      <c r="N175" t="s">
        <v>135</v>
      </c>
      <c r="O175" t="s">
        <v>75</v>
      </c>
      <c r="P175" t="s">
        <v>273</v>
      </c>
      <c r="Q175" t="s">
        <v>101</v>
      </c>
      <c r="R175" t="s">
        <v>111</v>
      </c>
      <c r="S175" t="s">
        <v>111</v>
      </c>
      <c r="T175" t="s">
        <v>274</v>
      </c>
      <c r="U175" t="s">
        <v>80</v>
      </c>
      <c r="V175" t="s">
        <v>274</v>
      </c>
      <c r="W175" t="s">
        <v>111</v>
      </c>
      <c r="X175" t="s">
        <v>324</v>
      </c>
      <c r="Y175">
        <v>7.5</v>
      </c>
      <c r="Z175">
        <v>7.5</v>
      </c>
      <c r="AA175" t="s">
        <v>266</v>
      </c>
      <c r="AB175" t="s">
        <v>275</v>
      </c>
      <c r="AC175">
        <v>8.5</v>
      </c>
      <c r="AD175">
        <v>4</v>
      </c>
      <c r="AE175">
        <v>2</v>
      </c>
      <c r="AF175">
        <v>4</v>
      </c>
      <c r="AG175">
        <v>4</v>
      </c>
      <c r="AH175">
        <v>3</v>
      </c>
      <c r="AI175" t="s">
        <v>111</v>
      </c>
      <c r="AJ175" t="s">
        <v>274</v>
      </c>
      <c r="AK175">
        <v>26</v>
      </c>
      <c r="AL175">
        <v>65</v>
      </c>
      <c r="AM175" t="s">
        <v>85</v>
      </c>
      <c r="AN175" t="s">
        <v>274</v>
      </c>
      <c r="AO175" t="s">
        <v>111</v>
      </c>
      <c r="AP175" t="s">
        <v>274</v>
      </c>
      <c r="AQ175">
        <v>7</v>
      </c>
      <c r="AR175">
        <v>6</v>
      </c>
      <c r="AS175">
        <v>7</v>
      </c>
      <c r="AT175" t="s">
        <v>266</v>
      </c>
      <c r="AU175">
        <v>38</v>
      </c>
      <c r="AV175" t="s">
        <v>274</v>
      </c>
      <c r="AW175" t="s">
        <v>274</v>
      </c>
      <c r="AX175">
        <v>3</v>
      </c>
      <c r="AY175" t="s">
        <v>274</v>
      </c>
      <c r="AZ175" t="s">
        <v>274</v>
      </c>
      <c r="BA175">
        <v>3</v>
      </c>
      <c r="BB175">
        <v>3</v>
      </c>
      <c r="BC175" t="s">
        <v>274</v>
      </c>
      <c r="BD175">
        <v>3</v>
      </c>
      <c r="BE175">
        <v>6</v>
      </c>
      <c r="BF175">
        <v>28</v>
      </c>
      <c r="BG175" t="s">
        <v>86</v>
      </c>
      <c r="BH175" t="s">
        <v>281</v>
      </c>
      <c r="BI175">
        <v>3.2</v>
      </c>
      <c r="BJ175">
        <v>3.8</v>
      </c>
      <c r="BK175">
        <v>7</v>
      </c>
      <c r="BL175">
        <v>4</v>
      </c>
    </row>
    <row r="176" spans="1:64" x14ac:dyDescent="0.25">
      <c r="A176" t="s">
        <v>445</v>
      </c>
      <c r="B176">
        <v>47</v>
      </c>
      <c r="C176" t="s">
        <v>382</v>
      </c>
      <c r="D176" t="s">
        <v>66</v>
      </c>
      <c r="E176" t="s">
        <v>114</v>
      </c>
      <c r="F176" t="s">
        <v>115</v>
      </c>
      <c r="G176" t="s">
        <v>116</v>
      </c>
      <c r="H176" t="s">
        <v>124</v>
      </c>
      <c r="I176" t="s">
        <v>166</v>
      </c>
      <c r="J176" t="s">
        <v>179</v>
      </c>
      <c r="K176" t="s">
        <v>290</v>
      </c>
      <c r="L176">
        <v>4</v>
      </c>
      <c r="M176">
        <v>10</v>
      </c>
      <c r="N176" t="s">
        <v>135</v>
      </c>
      <c r="O176" t="s">
        <v>74</v>
      </c>
      <c r="P176" t="s">
        <v>100</v>
      </c>
      <c r="Q176" t="s">
        <v>101</v>
      </c>
      <c r="R176" t="s">
        <v>111</v>
      </c>
      <c r="S176" t="s">
        <v>111</v>
      </c>
      <c r="T176" t="s">
        <v>111</v>
      </c>
      <c r="U176" t="s">
        <v>80</v>
      </c>
      <c r="V176" t="s">
        <v>111</v>
      </c>
      <c r="W176" t="s">
        <v>111</v>
      </c>
      <c r="X176" t="s">
        <v>416</v>
      </c>
      <c r="Y176">
        <v>8</v>
      </c>
      <c r="Z176">
        <v>7.5</v>
      </c>
      <c r="AA176" t="s">
        <v>266</v>
      </c>
      <c r="AB176" t="s">
        <v>103</v>
      </c>
      <c r="AC176">
        <v>8</v>
      </c>
      <c r="AD176">
        <v>5</v>
      </c>
      <c r="AE176">
        <v>2</v>
      </c>
      <c r="AF176">
        <v>5</v>
      </c>
      <c r="AG176">
        <v>4</v>
      </c>
      <c r="AH176">
        <v>4</v>
      </c>
      <c r="AI176" t="s">
        <v>111</v>
      </c>
      <c r="AJ176" t="s">
        <v>111</v>
      </c>
      <c r="AK176">
        <v>22</v>
      </c>
      <c r="AL176">
        <v>55</v>
      </c>
      <c r="AM176" t="s">
        <v>85</v>
      </c>
      <c r="AN176" t="s">
        <v>111</v>
      </c>
      <c r="AO176" t="s">
        <v>274</v>
      </c>
      <c r="AP176" t="s">
        <v>274</v>
      </c>
      <c r="AQ176">
        <v>6</v>
      </c>
      <c r="AR176">
        <v>6</v>
      </c>
      <c r="AS176">
        <v>6</v>
      </c>
      <c r="AT176" t="s">
        <v>266</v>
      </c>
      <c r="AU176">
        <v>30</v>
      </c>
      <c r="AV176" t="s">
        <v>111</v>
      </c>
      <c r="AW176" t="s">
        <v>274</v>
      </c>
      <c r="AX176">
        <v>4</v>
      </c>
      <c r="AY176" t="s">
        <v>274</v>
      </c>
      <c r="AZ176" t="s">
        <v>111</v>
      </c>
      <c r="BA176">
        <v>4</v>
      </c>
      <c r="BB176">
        <v>4</v>
      </c>
      <c r="BC176" t="s">
        <v>274</v>
      </c>
      <c r="BD176">
        <v>4</v>
      </c>
      <c r="BE176">
        <v>5</v>
      </c>
      <c r="BF176">
        <v>20</v>
      </c>
      <c r="BG176" t="s">
        <v>117</v>
      </c>
      <c r="BH176" t="s">
        <v>171</v>
      </c>
      <c r="BI176">
        <v>4.5</v>
      </c>
      <c r="BJ176">
        <v>5</v>
      </c>
      <c r="BK176">
        <v>5.8</v>
      </c>
      <c r="BL176">
        <v>5.5</v>
      </c>
    </row>
    <row r="177" spans="1:64" x14ac:dyDescent="0.25">
      <c r="A177" t="s">
        <v>446</v>
      </c>
      <c r="B177">
        <v>38</v>
      </c>
      <c r="C177" t="s">
        <v>382</v>
      </c>
      <c r="D177" t="s">
        <v>89</v>
      </c>
      <c r="E177" t="s">
        <v>90</v>
      </c>
      <c r="F177" t="s">
        <v>91</v>
      </c>
      <c r="G177" t="s">
        <v>92</v>
      </c>
      <c r="H177" t="s">
        <v>279</v>
      </c>
      <c r="I177" t="s">
        <v>166</v>
      </c>
      <c r="J177" t="s">
        <v>167</v>
      </c>
      <c r="K177" t="s">
        <v>290</v>
      </c>
      <c r="L177">
        <v>2.5</v>
      </c>
      <c r="M177">
        <v>11</v>
      </c>
      <c r="N177" t="s">
        <v>168</v>
      </c>
      <c r="O177" t="s">
        <v>272</v>
      </c>
      <c r="P177" t="s">
        <v>273</v>
      </c>
      <c r="Q177" t="s">
        <v>295</v>
      </c>
      <c r="R177" t="s">
        <v>274</v>
      </c>
      <c r="S177" t="s">
        <v>274</v>
      </c>
      <c r="T177" t="s">
        <v>274</v>
      </c>
      <c r="U177" t="s">
        <v>286</v>
      </c>
      <c r="V177" t="s">
        <v>274</v>
      </c>
      <c r="W177" t="s">
        <v>274</v>
      </c>
      <c r="X177" t="s">
        <v>313</v>
      </c>
      <c r="Y177">
        <v>6.5</v>
      </c>
      <c r="Z177">
        <v>8</v>
      </c>
      <c r="AA177" t="s">
        <v>266</v>
      </c>
      <c r="AB177" t="s">
        <v>78</v>
      </c>
      <c r="AC177">
        <v>9.5</v>
      </c>
      <c r="AD177">
        <v>3</v>
      </c>
      <c r="AE177">
        <v>2</v>
      </c>
      <c r="AF177">
        <v>3</v>
      </c>
      <c r="AG177">
        <v>2</v>
      </c>
      <c r="AH177">
        <v>2</v>
      </c>
      <c r="AI177" t="s">
        <v>274</v>
      </c>
      <c r="AJ177" t="s">
        <v>274</v>
      </c>
      <c r="AK177">
        <v>38</v>
      </c>
      <c r="AL177">
        <v>95</v>
      </c>
      <c r="AM177" t="s">
        <v>85</v>
      </c>
      <c r="AN177" t="s">
        <v>274</v>
      </c>
      <c r="AO177" t="s">
        <v>274</v>
      </c>
      <c r="AP177" t="s">
        <v>274</v>
      </c>
      <c r="AQ177">
        <v>9</v>
      </c>
      <c r="AR177">
        <v>8</v>
      </c>
      <c r="AS177">
        <v>9</v>
      </c>
      <c r="AT177" t="s">
        <v>266</v>
      </c>
      <c r="AU177">
        <v>55</v>
      </c>
      <c r="AV177" t="s">
        <v>274</v>
      </c>
      <c r="AW177" t="s">
        <v>274</v>
      </c>
      <c r="AX177">
        <v>2</v>
      </c>
      <c r="AY177" t="s">
        <v>83</v>
      </c>
      <c r="AZ177" t="s">
        <v>274</v>
      </c>
      <c r="BA177">
        <v>2</v>
      </c>
      <c r="BB177">
        <v>2</v>
      </c>
      <c r="BC177" t="s">
        <v>274</v>
      </c>
      <c r="BD177">
        <v>2</v>
      </c>
      <c r="BE177">
        <v>8</v>
      </c>
      <c r="BF177">
        <v>48</v>
      </c>
      <c r="BG177" t="s">
        <v>306</v>
      </c>
      <c r="BH177" t="s">
        <v>281</v>
      </c>
      <c r="BI177">
        <v>1.8</v>
      </c>
      <c r="BJ177">
        <v>2.4</v>
      </c>
      <c r="BK177">
        <v>8.8000000000000007</v>
      </c>
      <c r="BL177">
        <v>2.2000000000000002</v>
      </c>
    </row>
    <row r="178" spans="1:64" x14ac:dyDescent="0.25">
      <c r="A178" t="s">
        <v>447</v>
      </c>
      <c r="B178">
        <v>44</v>
      </c>
      <c r="C178" t="s">
        <v>382</v>
      </c>
      <c r="D178" t="s">
        <v>66</v>
      </c>
      <c r="E178" t="s">
        <v>107</v>
      </c>
      <c r="F178" t="s">
        <v>260</v>
      </c>
      <c r="G178" t="s">
        <v>261</v>
      </c>
      <c r="H178" t="s">
        <v>279</v>
      </c>
      <c r="I178" t="s">
        <v>166</v>
      </c>
      <c r="J178" t="s">
        <v>72</v>
      </c>
      <c r="K178" t="s">
        <v>290</v>
      </c>
      <c r="L178">
        <v>2.5</v>
      </c>
      <c r="M178">
        <v>11</v>
      </c>
      <c r="N178" t="s">
        <v>74</v>
      </c>
      <c r="O178" t="s">
        <v>135</v>
      </c>
      <c r="P178" t="s">
        <v>273</v>
      </c>
      <c r="Q178" t="s">
        <v>295</v>
      </c>
      <c r="R178" t="s">
        <v>274</v>
      </c>
      <c r="S178" t="s">
        <v>274</v>
      </c>
      <c r="T178" t="s">
        <v>274</v>
      </c>
      <c r="U178" t="s">
        <v>286</v>
      </c>
      <c r="V178" t="s">
        <v>274</v>
      </c>
      <c r="W178" t="s">
        <v>274</v>
      </c>
      <c r="X178" t="s">
        <v>308</v>
      </c>
      <c r="Y178">
        <v>6.5</v>
      </c>
      <c r="Z178">
        <v>8</v>
      </c>
      <c r="AA178" t="s">
        <v>266</v>
      </c>
      <c r="AB178" t="s">
        <v>78</v>
      </c>
      <c r="AC178">
        <v>9</v>
      </c>
      <c r="AD178">
        <v>3</v>
      </c>
      <c r="AE178">
        <v>1</v>
      </c>
      <c r="AF178">
        <v>3</v>
      </c>
      <c r="AG178">
        <v>2</v>
      </c>
      <c r="AH178">
        <v>2</v>
      </c>
      <c r="AI178" t="s">
        <v>274</v>
      </c>
      <c r="AJ178" t="s">
        <v>274</v>
      </c>
      <c r="AK178">
        <v>38</v>
      </c>
      <c r="AL178">
        <v>95</v>
      </c>
      <c r="AM178" t="s">
        <v>85</v>
      </c>
      <c r="AN178" t="s">
        <v>274</v>
      </c>
      <c r="AO178" t="s">
        <v>274</v>
      </c>
      <c r="AP178" t="s">
        <v>274</v>
      </c>
      <c r="AQ178">
        <v>9</v>
      </c>
      <c r="AR178">
        <v>8</v>
      </c>
      <c r="AS178">
        <v>9</v>
      </c>
      <c r="AT178" t="s">
        <v>266</v>
      </c>
      <c r="AU178">
        <v>55</v>
      </c>
      <c r="AV178" t="s">
        <v>274</v>
      </c>
      <c r="AW178" t="s">
        <v>274</v>
      </c>
      <c r="AX178">
        <v>2</v>
      </c>
      <c r="AY178" t="s">
        <v>83</v>
      </c>
      <c r="AZ178" t="s">
        <v>274</v>
      </c>
      <c r="BA178">
        <v>2</v>
      </c>
      <c r="BB178">
        <v>2</v>
      </c>
      <c r="BC178" t="s">
        <v>274</v>
      </c>
      <c r="BD178">
        <v>2</v>
      </c>
      <c r="BE178">
        <v>8</v>
      </c>
      <c r="BF178">
        <v>48</v>
      </c>
      <c r="BG178" t="s">
        <v>306</v>
      </c>
      <c r="BH178" t="s">
        <v>281</v>
      </c>
      <c r="BI178">
        <v>1.8</v>
      </c>
      <c r="BJ178">
        <v>2.4</v>
      </c>
      <c r="BK178">
        <v>8.8000000000000007</v>
      </c>
      <c r="BL178">
        <v>2.2000000000000002</v>
      </c>
    </row>
    <row r="179" spans="1:64" x14ac:dyDescent="0.25">
      <c r="A179" t="s">
        <v>448</v>
      </c>
      <c r="B179">
        <v>36</v>
      </c>
      <c r="C179" t="s">
        <v>382</v>
      </c>
      <c r="D179" t="s">
        <v>89</v>
      </c>
      <c r="E179" t="s">
        <v>67</v>
      </c>
      <c r="F179" t="s">
        <v>119</v>
      </c>
      <c r="G179" t="s">
        <v>120</v>
      </c>
      <c r="H179" t="s">
        <v>124</v>
      </c>
      <c r="I179" t="s">
        <v>166</v>
      </c>
      <c r="J179" t="s">
        <v>449</v>
      </c>
      <c r="K179" t="s">
        <v>290</v>
      </c>
      <c r="L179">
        <v>3.5</v>
      </c>
      <c r="M179">
        <v>8</v>
      </c>
      <c r="N179" t="s">
        <v>75</v>
      </c>
      <c r="O179" t="s">
        <v>135</v>
      </c>
      <c r="P179" t="s">
        <v>273</v>
      </c>
      <c r="Q179" t="s">
        <v>101</v>
      </c>
      <c r="R179" t="s">
        <v>111</v>
      </c>
      <c r="S179" t="s">
        <v>111</v>
      </c>
      <c r="T179" t="s">
        <v>274</v>
      </c>
      <c r="U179" t="s">
        <v>80</v>
      </c>
      <c r="V179" t="s">
        <v>274</v>
      </c>
      <c r="W179" t="s">
        <v>111</v>
      </c>
      <c r="X179" t="s">
        <v>422</v>
      </c>
      <c r="Y179">
        <v>7.5</v>
      </c>
      <c r="Z179">
        <v>7.5</v>
      </c>
      <c r="AA179" t="s">
        <v>266</v>
      </c>
      <c r="AB179" t="s">
        <v>275</v>
      </c>
      <c r="AC179">
        <v>8.5</v>
      </c>
      <c r="AD179">
        <v>4</v>
      </c>
      <c r="AE179">
        <v>2</v>
      </c>
      <c r="AF179">
        <v>4</v>
      </c>
      <c r="AG179">
        <v>4</v>
      </c>
      <c r="AH179">
        <v>3</v>
      </c>
      <c r="AI179" t="s">
        <v>111</v>
      </c>
      <c r="AJ179" t="s">
        <v>274</v>
      </c>
      <c r="AK179">
        <v>26</v>
      </c>
      <c r="AL179">
        <v>65</v>
      </c>
      <c r="AM179" t="s">
        <v>85</v>
      </c>
      <c r="AN179" t="s">
        <v>274</v>
      </c>
      <c r="AO179" t="s">
        <v>111</v>
      </c>
      <c r="AP179" t="s">
        <v>274</v>
      </c>
      <c r="AQ179">
        <v>7</v>
      </c>
      <c r="AR179">
        <v>6</v>
      </c>
      <c r="AS179">
        <v>7</v>
      </c>
      <c r="AT179" t="s">
        <v>266</v>
      </c>
      <c r="AU179">
        <v>38</v>
      </c>
      <c r="AV179" t="s">
        <v>274</v>
      </c>
      <c r="AW179" t="s">
        <v>274</v>
      </c>
      <c r="AX179">
        <v>3</v>
      </c>
      <c r="AY179" t="s">
        <v>274</v>
      </c>
      <c r="AZ179" t="s">
        <v>274</v>
      </c>
      <c r="BA179">
        <v>3</v>
      </c>
      <c r="BB179">
        <v>3</v>
      </c>
      <c r="BC179" t="s">
        <v>274</v>
      </c>
      <c r="BD179">
        <v>3</v>
      </c>
      <c r="BE179">
        <v>6</v>
      </c>
      <c r="BF179">
        <v>26</v>
      </c>
      <c r="BG179" t="s">
        <v>86</v>
      </c>
      <c r="BH179" t="s">
        <v>281</v>
      </c>
      <c r="BI179">
        <v>3.2</v>
      </c>
      <c r="BJ179">
        <v>3.8</v>
      </c>
      <c r="BK179">
        <v>7</v>
      </c>
      <c r="BL179">
        <v>4</v>
      </c>
    </row>
    <row r="180" spans="1:64" x14ac:dyDescent="0.25">
      <c r="A180" t="s">
        <v>450</v>
      </c>
      <c r="B180">
        <v>49</v>
      </c>
      <c r="C180" t="s">
        <v>382</v>
      </c>
      <c r="D180" t="s">
        <v>66</v>
      </c>
      <c r="E180" t="s">
        <v>97</v>
      </c>
      <c r="F180" t="s">
        <v>138</v>
      </c>
      <c r="G180" t="s">
        <v>139</v>
      </c>
      <c r="H180" t="s">
        <v>124</v>
      </c>
      <c r="I180" t="s">
        <v>166</v>
      </c>
      <c r="J180" t="s">
        <v>72</v>
      </c>
      <c r="K180" t="s">
        <v>290</v>
      </c>
      <c r="L180">
        <v>3</v>
      </c>
      <c r="M180">
        <v>10</v>
      </c>
      <c r="N180" t="s">
        <v>135</v>
      </c>
      <c r="O180" t="s">
        <v>75</v>
      </c>
      <c r="P180" t="s">
        <v>273</v>
      </c>
      <c r="Q180" t="s">
        <v>101</v>
      </c>
      <c r="R180" t="s">
        <v>111</v>
      </c>
      <c r="S180" t="s">
        <v>111</v>
      </c>
      <c r="T180" t="s">
        <v>274</v>
      </c>
      <c r="U180" t="s">
        <v>80</v>
      </c>
      <c r="V180" t="s">
        <v>274</v>
      </c>
      <c r="W180" t="s">
        <v>274</v>
      </c>
      <c r="X180" t="s">
        <v>300</v>
      </c>
      <c r="Y180">
        <v>7</v>
      </c>
      <c r="Z180">
        <v>8</v>
      </c>
      <c r="AA180" t="s">
        <v>266</v>
      </c>
      <c r="AB180" t="s">
        <v>275</v>
      </c>
      <c r="AC180">
        <v>8.5</v>
      </c>
      <c r="AD180">
        <v>4</v>
      </c>
      <c r="AE180">
        <v>2</v>
      </c>
      <c r="AF180">
        <v>4</v>
      </c>
      <c r="AG180">
        <v>3</v>
      </c>
      <c r="AH180">
        <v>3</v>
      </c>
      <c r="AI180" t="s">
        <v>111</v>
      </c>
      <c r="AJ180" t="s">
        <v>274</v>
      </c>
      <c r="AK180">
        <v>28</v>
      </c>
      <c r="AL180">
        <v>70</v>
      </c>
      <c r="AM180" t="s">
        <v>85</v>
      </c>
      <c r="AN180" t="s">
        <v>274</v>
      </c>
      <c r="AO180" t="s">
        <v>111</v>
      </c>
      <c r="AP180" t="s">
        <v>274</v>
      </c>
      <c r="AQ180">
        <v>7</v>
      </c>
      <c r="AR180">
        <v>6</v>
      </c>
      <c r="AS180">
        <v>7</v>
      </c>
      <c r="AT180" t="s">
        <v>266</v>
      </c>
      <c r="AU180">
        <v>40</v>
      </c>
      <c r="AV180" t="s">
        <v>274</v>
      </c>
      <c r="AW180" t="s">
        <v>274</v>
      </c>
      <c r="AX180">
        <v>3</v>
      </c>
      <c r="AY180" t="s">
        <v>274</v>
      </c>
      <c r="AZ180" t="s">
        <v>274</v>
      </c>
      <c r="BA180">
        <v>3</v>
      </c>
      <c r="BB180">
        <v>3</v>
      </c>
      <c r="BC180" t="s">
        <v>274</v>
      </c>
      <c r="BD180">
        <v>3</v>
      </c>
      <c r="BE180">
        <v>6</v>
      </c>
      <c r="BF180">
        <v>30</v>
      </c>
      <c r="BG180" t="s">
        <v>86</v>
      </c>
      <c r="BH180" t="s">
        <v>281</v>
      </c>
      <c r="BI180">
        <v>3</v>
      </c>
      <c r="BJ180">
        <v>3.6</v>
      </c>
      <c r="BK180">
        <v>7.2</v>
      </c>
      <c r="BL180">
        <v>3.8</v>
      </c>
    </row>
    <row r="181" spans="1:64" x14ac:dyDescent="0.25">
      <c r="A181" t="s">
        <v>451</v>
      </c>
      <c r="B181">
        <v>41</v>
      </c>
      <c r="C181" t="s">
        <v>382</v>
      </c>
      <c r="D181" t="s">
        <v>89</v>
      </c>
      <c r="E181" t="s">
        <v>149</v>
      </c>
      <c r="F181" t="s">
        <v>269</v>
      </c>
      <c r="G181" t="s">
        <v>270</v>
      </c>
      <c r="H181" t="s">
        <v>124</v>
      </c>
      <c r="I181" t="s">
        <v>166</v>
      </c>
      <c r="J181" t="s">
        <v>315</v>
      </c>
      <c r="K181" t="s">
        <v>290</v>
      </c>
      <c r="L181">
        <v>3.5</v>
      </c>
      <c r="M181">
        <v>9</v>
      </c>
      <c r="N181" t="s">
        <v>135</v>
      </c>
      <c r="O181" t="s">
        <v>75</v>
      </c>
      <c r="P181" t="s">
        <v>273</v>
      </c>
      <c r="Q181" t="s">
        <v>101</v>
      </c>
      <c r="R181" t="s">
        <v>111</v>
      </c>
      <c r="S181" t="s">
        <v>111</v>
      </c>
      <c r="T181" t="s">
        <v>274</v>
      </c>
      <c r="U181" t="s">
        <v>80</v>
      </c>
      <c r="V181" t="s">
        <v>274</v>
      </c>
      <c r="W181" t="s">
        <v>111</v>
      </c>
      <c r="X181" t="s">
        <v>428</v>
      </c>
      <c r="Y181">
        <v>7.5</v>
      </c>
      <c r="Z181">
        <v>7.5</v>
      </c>
      <c r="AA181" t="s">
        <v>266</v>
      </c>
      <c r="AB181" t="s">
        <v>275</v>
      </c>
      <c r="AC181">
        <v>8.5</v>
      </c>
      <c r="AD181">
        <v>4</v>
      </c>
      <c r="AE181">
        <v>2</v>
      </c>
      <c r="AF181">
        <v>4</v>
      </c>
      <c r="AG181">
        <v>4</v>
      </c>
      <c r="AH181">
        <v>3</v>
      </c>
      <c r="AI181" t="s">
        <v>111</v>
      </c>
      <c r="AJ181" t="s">
        <v>274</v>
      </c>
      <c r="AK181">
        <v>26</v>
      </c>
      <c r="AL181">
        <v>65</v>
      </c>
      <c r="AM181" t="s">
        <v>85</v>
      </c>
      <c r="AN181" t="s">
        <v>274</v>
      </c>
      <c r="AO181" t="s">
        <v>111</v>
      </c>
      <c r="AP181" t="s">
        <v>274</v>
      </c>
      <c r="AQ181">
        <v>7</v>
      </c>
      <c r="AR181">
        <v>6</v>
      </c>
      <c r="AS181">
        <v>7</v>
      </c>
      <c r="AT181" t="s">
        <v>266</v>
      </c>
      <c r="AU181">
        <v>38</v>
      </c>
      <c r="AV181" t="s">
        <v>274</v>
      </c>
      <c r="AW181" t="s">
        <v>274</v>
      </c>
      <c r="AX181">
        <v>3</v>
      </c>
      <c r="AY181" t="s">
        <v>274</v>
      </c>
      <c r="AZ181" t="s">
        <v>274</v>
      </c>
      <c r="BA181">
        <v>3</v>
      </c>
      <c r="BB181">
        <v>3</v>
      </c>
      <c r="BC181" t="s">
        <v>274</v>
      </c>
      <c r="BD181">
        <v>3</v>
      </c>
      <c r="BE181">
        <v>6</v>
      </c>
      <c r="BF181">
        <v>28</v>
      </c>
      <c r="BG181" t="s">
        <v>86</v>
      </c>
      <c r="BH181" t="s">
        <v>281</v>
      </c>
      <c r="BI181">
        <v>3.2</v>
      </c>
      <c r="BJ181">
        <v>3.8</v>
      </c>
      <c r="BK181">
        <v>7</v>
      </c>
      <c r="BL181">
        <v>4</v>
      </c>
    </row>
    <row r="182" spans="1:64" x14ac:dyDescent="0.25">
      <c r="A182" t="s">
        <v>452</v>
      </c>
      <c r="B182">
        <v>52</v>
      </c>
      <c r="C182" t="s">
        <v>453</v>
      </c>
      <c r="D182" t="s">
        <v>89</v>
      </c>
      <c r="E182" t="s">
        <v>107</v>
      </c>
      <c r="F182" t="s">
        <v>108</v>
      </c>
      <c r="G182" t="s">
        <v>109</v>
      </c>
      <c r="H182" t="s">
        <v>279</v>
      </c>
      <c r="I182" t="s">
        <v>166</v>
      </c>
      <c r="J182" t="s">
        <v>315</v>
      </c>
      <c r="K182" t="s">
        <v>290</v>
      </c>
      <c r="L182">
        <v>1.5</v>
      </c>
      <c r="M182">
        <v>12</v>
      </c>
      <c r="N182" t="s">
        <v>135</v>
      </c>
      <c r="O182" t="s">
        <v>272</v>
      </c>
      <c r="P182" t="s">
        <v>454</v>
      </c>
      <c r="Q182" t="s">
        <v>295</v>
      </c>
      <c r="R182" t="s">
        <v>274</v>
      </c>
      <c r="S182" t="s">
        <v>274</v>
      </c>
      <c r="T182" t="s">
        <v>274</v>
      </c>
      <c r="U182" t="s">
        <v>286</v>
      </c>
      <c r="V182" t="s">
        <v>83</v>
      </c>
      <c r="W182" t="s">
        <v>83</v>
      </c>
      <c r="X182" t="s">
        <v>170</v>
      </c>
      <c r="Y182">
        <v>5</v>
      </c>
      <c r="Z182">
        <v>8</v>
      </c>
      <c r="AA182" t="s">
        <v>266</v>
      </c>
      <c r="AB182" t="s">
        <v>78</v>
      </c>
      <c r="AC182">
        <v>9</v>
      </c>
      <c r="AD182">
        <v>2</v>
      </c>
      <c r="AE182">
        <v>1</v>
      </c>
      <c r="AF182">
        <v>2</v>
      </c>
      <c r="AG182">
        <v>2</v>
      </c>
      <c r="AH182">
        <v>1</v>
      </c>
      <c r="AI182" t="s">
        <v>274</v>
      </c>
      <c r="AJ182" t="s">
        <v>274</v>
      </c>
      <c r="AK182">
        <v>50</v>
      </c>
      <c r="AL182">
        <v>120</v>
      </c>
      <c r="AM182" t="s">
        <v>85</v>
      </c>
      <c r="AN182" t="s">
        <v>274</v>
      </c>
      <c r="AO182" t="s">
        <v>274</v>
      </c>
      <c r="AP182" t="s">
        <v>274</v>
      </c>
      <c r="AQ182">
        <v>9</v>
      </c>
      <c r="AR182">
        <v>8</v>
      </c>
      <c r="AS182">
        <v>9</v>
      </c>
      <c r="AT182" t="s">
        <v>336</v>
      </c>
      <c r="AU182">
        <v>60</v>
      </c>
      <c r="AV182" t="s">
        <v>274</v>
      </c>
      <c r="AW182" t="s">
        <v>274</v>
      </c>
      <c r="AX182">
        <v>1</v>
      </c>
      <c r="AY182" t="s">
        <v>83</v>
      </c>
      <c r="AZ182" t="s">
        <v>83</v>
      </c>
      <c r="BA182">
        <v>1</v>
      </c>
      <c r="BB182">
        <v>1</v>
      </c>
      <c r="BC182" t="s">
        <v>83</v>
      </c>
      <c r="BD182">
        <v>1</v>
      </c>
      <c r="BE182">
        <v>9</v>
      </c>
      <c r="BF182">
        <v>60</v>
      </c>
      <c r="BG182" t="s">
        <v>306</v>
      </c>
      <c r="BH182" t="s">
        <v>281</v>
      </c>
      <c r="BI182">
        <v>1.2</v>
      </c>
      <c r="BJ182">
        <v>1.8</v>
      </c>
      <c r="BK182">
        <v>9.5</v>
      </c>
      <c r="BL182">
        <v>1.5</v>
      </c>
    </row>
    <row r="183" spans="1:64" x14ac:dyDescent="0.25">
      <c r="A183" t="s">
        <v>455</v>
      </c>
      <c r="B183">
        <v>58</v>
      </c>
      <c r="C183" t="s">
        <v>453</v>
      </c>
      <c r="D183" t="s">
        <v>66</v>
      </c>
      <c r="E183" t="s">
        <v>90</v>
      </c>
      <c r="F183" t="s">
        <v>91</v>
      </c>
      <c r="G183" t="s">
        <v>92</v>
      </c>
      <c r="H183" t="s">
        <v>279</v>
      </c>
      <c r="I183" t="s">
        <v>166</v>
      </c>
      <c r="J183" t="s">
        <v>285</v>
      </c>
      <c r="K183" t="s">
        <v>290</v>
      </c>
      <c r="L183">
        <v>1.5</v>
      </c>
      <c r="M183">
        <v>10</v>
      </c>
      <c r="N183" t="s">
        <v>168</v>
      </c>
      <c r="O183" t="s">
        <v>456</v>
      </c>
      <c r="P183" t="s">
        <v>454</v>
      </c>
      <c r="Q183" t="s">
        <v>295</v>
      </c>
      <c r="R183" t="s">
        <v>83</v>
      </c>
      <c r="S183" t="s">
        <v>83</v>
      </c>
      <c r="T183" t="s">
        <v>83</v>
      </c>
      <c r="U183" t="s">
        <v>286</v>
      </c>
      <c r="V183" t="s">
        <v>83</v>
      </c>
      <c r="W183" t="s">
        <v>83</v>
      </c>
      <c r="X183" t="s">
        <v>457</v>
      </c>
      <c r="Y183">
        <v>4.5</v>
      </c>
      <c r="Z183">
        <v>8.5</v>
      </c>
      <c r="AA183" t="s">
        <v>266</v>
      </c>
      <c r="AB183" t="s">
        <v>78</v>
      </c>
      <c r="AC183">
        <v>9</v>
      </c>
      <c r="AD183">
        <v>2</v>
      </c>
      <c r="AE183">
        <v>1</v>
      </c>
      <c r="AF183">
        <v>2</v>
      </c>
      <c r="AG183">
        <v>1</v>
      </c>
      <c r="AH183">
        <v>1</v>
      </c>
      <c r="AI183" t="s">
        <v>83</v>
      </c>
      <c r="AJ183" t="s">
        <v>83</v>
      </c>
      <c r="AK183">
        <v>55</v>
      </c>
      <c r="AL183">
        <v>130</v>
      </c>
      <c r="AM183" t="s">
        <v>85</v>
      </c>
      <c r="AN183" t="s">
        <v>274</v>
      </c>
      <c r="AO183" t="s">
        <v>274</v>
      </c>
      <c r="AP183" t="s">
        <v>83</v>
      </c>
      <c r="AQ183">
        <v>9</v>
      </c>
      <c r="AR183">
        <v>9</v>
      </c>
      <c r="AS183">
        <v>9</v>
      </c>
      <c r="AT183" t="s">
        <v>336</v>
      </c>
      <c r="AU183">
        <v>65</v>
      </c>
      <c r="AV183" t="s">
        <v>274</v>
      </c>
      <c r="AW183" t="s">
        <v>274</v>
      </c>
      <c r="AX183">
        <v>1</v>
      </c>
      <c r="AY183" t="s">
        <v>83</v>
      </c>
      <c r="AZ183" t="s">
        <v>83</v>
      </c>
      <c r="BA183">
        <v>1</v>
      </c>
      <c r="BB183">
        <v>1</v>
      </c>
      <c r="BC183" t="s">
        <v>83</v>
      </c>
      <c r="BD183">
        <v>1</v>
      </c>
      <c r="BE183">
        <v>9</v>
      </c>
      <c r="BF183">
        <v>65</v>
      </c>
      <c r="BG183" t="s">
        <v>306</v>
      </c>
      <c r="BH183" t="s">
        <v>281</v>
      </c>
      <c r="BI183">
        <v>1</v>
      </c>
      <c r="BJ183">
        <v>1.5</v>
      </c>
      <c r="BK183">
        <v>9.6</v>
      </c>
      <c r="BL183">
        <v>1.2</v>
      </c>
    </row>
    <row r="184" spans="1:64" x14ac:dyDescent="0.25">
      <c r="A184" t="s">
        <v>458</v>
      </c>
      <c r="B184">
        <v>55</v>
      </c>
      <c r="C184" t="s">
        <v>453</v>
      </c>
      <c r="D184" t="s">
        <v>89</v>
      </c>
      <c r="E184" t="s">
        <v>67</v>
      </c>
      <c r="F184" t="s">
        <v>68</v>
      </c>
      <c r="G184" t="s">
        <v>69</v>
      </c>
      <c r="H184" t="s">
        <v>279</v>
      </c>
      <c r="I184" t="s">
        <v>166</v>
      </c>
      <c r="J184" t="s">
        <v>72</v>
      </c>
      <c r="K184" t="s">
        <v>290</v>
      </c>
      <c r="L184">
        <v>2</v>
      </c>
      <c r="M184">
        <v>11</v>
      </c>
      <c r="N184" t="s">
        <v>75</v>
      </c>
      <c r="O184" t="s">
        <v>135</v>
      </c>
      <c r="P184" t="s">
        <v>273</v>
      </c>
      <c r="Q184" t="s">
        <v>295</v>
      </c>
      <c r="R184" t="s">
        <v>274</v>
      </c>
      <c r="S184" t="s">
        <v>274</v>
      </c>
      <c r="T184" t="s">
        <v>274</v>
      </c>
      <c r="U184" t="s">
        <v>286</v>
      </c>
      <c r="V184" t="s">
        <v>274</v>
      </c>
      <c r="W184" t="s">
        <v>274</v>
      </c>
      <c r="X184" t="s">
        <v>155</v>
      </c>
      <c r="Y184">
        <v>5.5</v>
      </c>
      <c r="Z184">
        <v>8</v>
      </c>
      <c r="AA184" t="s">
        <v>266</v>
      </c>
      <c r="AB184" t="s">
        <v>275</v>
      </c>
      <c r="AC184">
        <v>8.5</v>
      </c>
      <c r="AD184">
        <v>2</v>
      </c>
      <c r="AE184">
        <v>1</v>
      </c>
      <c r="AF184">
        <v>2</v>
      </c>
      <c r="AG184">
        <v>2</v>
      </c>
      <c r="AH184">
        <v>1</v>
      </c>
      <c r="AI184" t="s">
        <v>274</v>
      </c>
      <c r="AJ184" t="s">
        <v>274</v>
      </c>
      <c r="AK184">
        <v>48</v>
      </c>
      <c r="AL184">
        <v>115</v>
      </c>
      <c r="AM184" t="s">
        <v>85</v>
      </c>
      <c r="AN184" t="s">
        <v>274</v>
      </c>
      <c r="AO184" t="s">
        <v>274</v>
      </c>
      <c r="AP184" t="s">
        <v>274</v>
      </c>
      <c r="AQ184">
        <v>9</v>
      </c>
      <c r="AR184">
        <v>8</v>
      </c>
      <c r="AS184">
        <v>9</v>
      </c>
      <c r="AT184" t="s">
        <v>266</v>
      </c>
      <c r="AU184">
        <v>58</v>
      </c>
      <c r="AV184" t="s">
        <v>274</v>
      </c>
      <c r="AW184" t="s">
        <v>274</v>
      </c>
      <c r="AX184">
        <v>1</v>
      </c>
      <c r="AY184" t="s">
        <v>83</v>
      </c>
      <c r="AZ184" t="s">
        <v>274</v>
      </c>
      <c r="BA184">
        <v>1</v>
      </c>
      <c r="BB184">
        <v>1</v>
      </c>
      <c r="BC184" t="s">
        <v>83</v>
      </c>
      <c r="BD184">
        <v>1</v>
      </c>
      <c r="BE184">
        <v>8</v>
      </c>
      <c r="BF184">
        <v>55</v>
      </c>
      <c r="BG184" t="s">
        <v>306</v>
      </c>
      <c r="BH184" t="s">
        <v>281</v>
      </c>
      <c r="BI184">
        <v>1.5</v>
      </c>
      <c r="BJ184">
        <v>2</v>
      </c>
      <c r="BK184">
        <v>9.1999999999999993</v>
      </c>
      <c r="BL184">
        <v>1.8</v>
      </c>
    </row>
    <row r="185" spans="1:64" x14ac:dyDescent="0.25">
      <c r="A185" t="s">
        <v>459</v>
      </c>
      <c r="B185">
        <v>61</v>
      </c>
      <c r="C185" t="s">
        <v>460</v>
      </c>
      <c r="D185" t="s">
        <v>66</v>
      </c>
      <c r="E185" t="s">
        <v>97</v>
      </c>
      <c r="F185" t="s">
        <v>98</v>
      </c>
      <c r="G185" t="s">
        <v>99</v>
      </c>
      <c r="H185" t="s">
        <v>124</v>
      </c>
      <c r="I185" t="s">
        <v>461</v>
      </c>
      <c r="J185" t="s">
        <v>462</v>
      </c>
      <c r="K185" t="s">
        <v>290</v>
      </c>
      <c r="L185">
        <v>1.5</v>
      </c>
      <c r="M185">
        <v>8</v>
      </c>
      <c r="N185" t="s">
        <v>135</v>
      </c>
      <c r="O185" t="s">
        <v>463</v>
      </c>
      <c r="P185" t="s">
        <v>454</v>
      </c>
      <c r="Q185" t="s">
        <v>295</v>
      </c>
      <c r="R185" t="s">
        <v>83</v>
      </c>
      <c r="S185" t="s">
        <v>83</v>
      </c>
      <c r="T185" t="s">
        <v>83</v>
      </c>
      <c r="U185" t="s">
        <v>286</v>
      </c>
      <c r="V185" t="s">
        <v>83</v>
      </c>
      <c r="W185" t="s">
        <v>83</v>
      </c>
      <c r="X185" t="s">
        <v>464</v>
      </c>
      <c r="Y185">
        <v>4</v>
      </c>
      <c r="Z185">
        <v>8.5</v>
      </c>
      <c r="AA185" t="s">
        <v>266</v>
      </c>
      <c r="AB185" t="s">
        <v>78</v>
      </c>
      <c r="AC185">
        <v>0</v>
      </c>
      <c r="AD185">
        <v>2</v>
      </c>
      <c r="AE185">
        <v>1</v>
      </c>
      <c r="AF185">
        <v>2</v>
      </c>
      <c r="AG185">
        <v>1</v>
      </c>
      <c r="AH185">
        <v>1</v>
      </c>
      <c r="AI185" t="s">
        <v>83</v>
      </c>
      <c r="AJ185" t="s">
        <v>83</v>
      </c>
      <c r="AK185">
        <v>55</v>
      </c>
      <c r="AL185">
        <v>130</v>
      </c>
      <c r="AM185" t="s">
        <v>85</v>
      </c>
      <c r="AN185" t="s">
        <v>83</v>
      </c>
      <c r="AO185" t="s">
        <v>274</v>
      </c>
      <c r="AP185" t="s">
        <v>83</v>
      </c>
      <c r="AQ185">
        <v>9</v>
      </c>
      <c r="AR185">
        <v>9</v>
      </c>
      <c r="AS185">
        <v>9</v>
      </c>
      <c r="AT185" t="s">
        <v>336</v>
      </c>
      <c r="AU185">
        <v>65</v>
      </c>
      <c r="AV185" t="s">
        <v>274</v>
      </c>
      <c r="AW185" t="s">
        <v>83</v>
      </c>
      <c r="AX185">
        <v>1</v>
      </c>
      <c r="AY185" t="s">
        <v>83</v>
      </c>
      <c r="AZ185" t="s">
        <v>83</v>
      </c>
      <c r="BA185">
        <v>1</v>
      </c>
      <c r="BB185">
        <v>1</v>
      </c>
      <c r="BC185" t="s">
        <v>83</v>
      </c>
      <c r="BD185">
        <v>1</v>
      </c>
      <c r="BE185">
        <v>9</v>
      </c>
      <c r="BF185">
        <v>70</v>
      </c>
      <c r="BG185" t="s">
        <v>306</v>
      </c>
      <c r="BH185" t="s">
        <v>281</v>
      </c>
      <c r="BI185">
        <v>1</v>
      </c>
      <c r="BJ185">
        <v>1.4</v>
      </c>
      <c r="BK185">
        <v>9.6999999999999993</v>
      </c>
      <c r="BL185">
        <v>1.2</v>
      </c>
    </row>
    <row r="186" spans="1:64" x14ac:dyDescent="0.25">
      <c r="A186" t="s">
        <v>465</v>
      </c>
      <c r="B186">
        <v>53</v>
      </c>
      <c r="C186" t="s">
        <v>453</v>
      </c>
      <c r="D186" t="s">
        <v>89</v>
      </c>
      <c r="E186" t="s">
        <v>107</v>
      </c>
      <c r="F186" t="s">
        <v>122</v>
      </c>
      <c r="G186" t="s">
        <v>123</v>
      </c>
      <c r="H186" t="s">
        <v>279</v>
      </c>
      <c r="I186" t="s">
        <v>166</v>
      </c>
      <c r="J186" t="s">
        <v>242</v>
      </c>
      <c r="K186" t="s">
        <v>290</v>
      </c>
      <c r="L186">
        <v>1.5</v>
      </c>
      <c r="M186">
        <v>12</v>
      </c>
      <c r="N186" t="s">
        <v>272</v>
      </c>
      <c r="O186" t="s">
        <v>130</v>
      </c>
      <c r="P186" t="s">
        <v>454</v>
      </c>
      <c r="Q186" t="s">
        <v>295</v>
      </c>
      <c r="R186" t="s">
        <v>274</v>
      </c>
      <c r="S186" t="s">
        <v>274</v>
      </c>
      <c r="T186" t="s">
        <v>83</v>
      </c>
      <c r="U186" t="s">
        <v>286</v>
      </c>
      <c r="V186" t="s">
        <v>83</v>
      </c>
      <c r="W186" t="s">
        <v>274</v>
      </c>
      <c r="X186" t="s">
        <v>318</v>
      </c>
      <c r="Y186">
        <v>5</v>
      </c>
      <c r="Z186">
        <v>8.5</v>
      </c>
      <c r="AA186" t="s">
        <v>266</v>
      </c>
      <c r="AB186" t="s">
        <v>78</v>
      </c>
      <c r="AC186">
        <v>9.5</v>
      </c>
      <c r="AD186">
        <v>2</v>
      </c>
      <c r="AE186">
        <v>1</v>
      </c>
      <c r="AF186">
        <v>2</v>
      </c>
      <c r="AG186">
        <v>2</v>
      </c>
      <c r="AH186">
        <v>1</v>
      </c>
      <c r="AI186" t="s">
        <v>274</v>
      </c>
      <c r="AJ186" t="s">
        <v>83</v>
      </c>
      <c r="AK186">
        <v>52</v>
      </c>
      <c r="AL186">
        <v>125</v>
      </c>
      <c r="AM186" t="s">
        <v>85</v>
      </c>
      <c r="AN186" t="s">
        <v>274</v>
      </c>
      <c r="AO186" t="s">
        <v>274</v>
      </c>
      <c r="AP186" t="s">
        <v>83</v>
      </c>
      <c r="AQ186">
        <v>9</v>
      </c>
      <c r="AR186">
        <v>8</v>
      </c>
      <c r="AS186">
        <v>9</v>
      </c>
      <c r="AT186" t="s">
        <v>336</v>
      </c>
      <c r="AU186">
        <v>60</v>
      </c>
      <c r="AV186" t="s">
        <v>274</v>
      </c>
      <c r="AW186" t="s">
        <v>274</v>
      </c>
      <c r="AX186">
        <v>1</v>
      </c>
      <c r="AY186" t="s">
        <v>83</v>
      </c>
      <c r="AZ186" t="s">
        <v>83</v>
      </c>
      <c r="BA186">
        <v>1</v>
      </c>
      <c r="BB186">
        <v>1</v>
      </c>
      <c r="BC186" t="s">
        <v>83</v>
      </c>
      <c r="BD186">
        <v>1</v>
      </c>
      <c r="BE186">
        <v>9</v>
      </c>
      <c r="BF186">
        <v>60</v>
      </c>
      <c r="BG186" t="s">
        <v>306</v>
      </c>
      <c r="BH186" t="s">
        <v>281</v>
      </c>
      <c r="BI186">
        <v>1.2</v>
      </c>
      <c r="BJ186">
        <v>1.8</v>
      </c>
      <c r="BK186">
        <v>9.5</v>
      </c>
      <c r="BL186">
        <v>1.5</v>
      </c>
    </row>
    <row r="187" spans="1:64" x14ac:dyDescent="0.25">
      <c r="A187" t="s">
        <v>466</v>
      </c>
      <c r="B187">
        <v>67</v>
      </c>
      <c r="C187" t="s">
        <v>460</v>
      </c>
      <c r="D187" t="s">
        <v>66</v>
      </c>
      <c r="E187" t="s">
        <v>114</v>
      </c>
      <c r="F187" t="s">
        <v>115</v>
      </c>
      <c r="G187" t="s">
        <v>116</v>
      </c>
      <c r="H187" t="s">
        <v>124</v>
      </c>
      <c r="I187" t="s">
        <v>461</v>
      </c>
      <c r="J187" t="s">
        <v>462</v>
      </c>
      <c r="K187" t="s">
        <v>290</v>
      </c>
      <c r="L187">
        <v>1.5</v>
      </c>
      <c r="M187">
        <v>7</v>
      </c>
      <c r="N187" t="s">
        <v>135</v>
      </c>
      <c r="O187" t="s">
        <v>463</v>
      </c>
      <c r="P187" t="s">
        <v>454</v>
      </c>
      <c r="Q187" t="s">
        <v>295</v>
      </c>
      <c r="R187" t="s">
        <v>83</v>
      </c>
      <c r="S187" t="s">
        <v>83</v>
      </c>
      <c r="T187" t="s">
        <v>83</v>
      </c>
      <c r="U187" t="s">
        <v>286</v>
      </c>
      <c r="V187" t="s">
        <v>83</v>
      </c>
      <c r="W187" t="s">
        <v>83</v>
      </c>
      <c r="X187" t="s">
        <v>467</v>
      </c>
      <c r="Y187">
        <v>4</v>
      </c>
      <c r="Z187">
        <v>8.5</v>
      </c>
      <c r="AA187" t="s">
        <v>336</v>
      </c>
      <c r="AB187" t="s">
        <v>78</v>
      </c>
      <c r="AC187">
        <v>0</v>
      </c>
      <c r="AD187">
        <v>2</v>
      </c>
      <c r="AE187">
        <v>1</v>
      </c>
      <c r="AF187">
        <v>2</v>
      </c>
      <c r="AG187">
        <v>1</v>
      </c>
      <c r="AH187">
        <v>1</v>
      </c>
      <c r="AI187" t="s">
        <v>83</v>
      </c>
      <c r="AJ187" t="s">
        <v>83</v>
      </c>
      <c r="AK187">
        <v>55</v>
      </c>
      <c r="AL187">
        <v>130</v>
      </c>
      <c r="AM187" t="s">
        <v>85</v>
      </c>
      <c r="AN187" t="s">
        <v>83</v>
      </c>
      <c r="AO187" t="s">
        <v>274</v>
      </c>
      <c r="AP187" t="s">
        <v>83</v>
      </c>
      <c r="AQ187">
        <v>9</v>
      </c>
      <c r="AR187">
        <v>9</v>
      </c>
      <c r="AS187">
        <v>9</v>
      </c>
      <c r="AT187" t="s">
        <v>336</v>
      </c>
      <c r="AU187">
        <v>68</v>
      </c>
      <c r="AV187" t="s">
        <v>274</v>
      </c>
      <c r="AW187" t="s">
        <v>83</v>
      </c>
      <c r="AX187">
        <v>1</v>
      </c>
      <c r="AY187" t="s">
        <v>83</v>
      </c>
      <c r="AZ187" t="s">
        <v>83</v>
      </c>
      <c r="BA187">
        <v>1</v>
      </c>
      <c r="BB187">
        <v>1</v>
      </c>
      <c r="BC187" t="s">
        <v>83</v>
      </c>
      <c r="BD187">
        <v>1</v>
      </c>
      <c r="BE187">
        <v>9</v>
      </c>
      <c r="BF187">
        <v>72</v>
      </c>
      <c r="BG187" t="s">
        <v>306</v>
      </c>
      <c r="BH187" t="s">
        <v>281</v>
      </c>
      <c r="BI187">
        <v>1</v>
      </c>
      <c r="BJ187">
        <v>1.4</v>
      </c>
      <c r="BK187">
        <v>9.6999999999999993</v>
      </c>
      <c r="BL187">
        <v>1</v>
      </c>
    </row>
    <row r="188" spans="1:64" x14ac:dyDescent="0.25">
      <c r="A188" t="s">
        <v>468</v>
      </c>
      <c r="B188">
        <v>56</v>
      </c>
      <c r="C188" t="s">
        <v>453</v>
      </c>
      <c r="D188" t="s">
        <v>89</v>
      </c>
      <c r="E188" t="s">
        <v>90</v>
      </c>
      <c r="F188" t="s">
        <v>128</v>
      </c>
      <c r="G188" t="s">
        <v>129</v>
      </c>
      <c r="H188" t="s">
        <v>279</v>
      </c>
      <c r="I188" t="s">
        <v>166</v>
      </c>
      <c r="J188" t="s">
        <v>167</v>
      </c>
      <c r="K188" t="s">
        <v>290</v>
      </c>
      <c r="L188">
        <v>1</v>
      </c>
      <c r="M188">
        <v>14</v>
      </c>
      <c r="N188" t="s">
        <v>272</v>
      </c>
      <c r="O188" t="s">
        <v>130</v>
      </c>
      <c r="P188" t="s">
        <v>454</v>
      </c>
      <c r="Q188" t="s">
        <v>295</v>
      </c>
      <c r="R188" t="s">
        <v>83</v>
      </c>
      <c r="S188" t="s">
        <v>274</v>
      </c>
      <c r="T188" t="s">
        <v>83</v>
      </c>
      <c r="U188" t="s">
        <v>286</v>
      </c>
      <c r="V188" t="s">
        <v>83</v>
      </c>
      <c r="W188" t="s">
        <v>83</v>
      </c>
      <c r="X188" t="s">
        <v>313</v>
      </c>
      <c r="Y188">
        <v>4.5</v>
      </c>
      <c r="Z188">
        <v>8.5</v>
      </c>
      <c r="AA188" t="s">
        <v>266</v>
      </c>
      <c r="AB188" t="s">
        <v>78</v>
      </c>
      <c r="AC188">
        <v>9.5</v>
      </c>
      <c r="AD188">
        <v>2</v>
      </c>
      <c r="AE188">
        <v>1</v>
      </c>
      <c r="AF188">
        <v>2</v>
      </c>
      <c r="AG188">
        <v>1</v>
      </c>
      <c r="AH188">
        <v>1</v>
      </c>
      <c r="AI188" t="s">
        <v>274</v>
      </c>
      <c r="AJ188" t="s">
        <v>83</v>
      </c>
      <c r="AK188">
        <v>55</v>
      </c>
      <c r="AL188">
        <v>130</v>
      </c>
      <c r="AM188" t="s">
        <v>85</v>
      </c>
      <c r="AN188" t="s">
        <v>274</v>
      </c>
      <c r="AO188" t="s">
        <v>274</v>
      </c>
      <c r="AP188" t="s">
        <v>83</v>
      </c>
      <c r="AQ188">
        <v>9</v>
      </c>
      <c r="AR188">
        <v>9</v>
      </c>
      <c r="AS188">
        <v>9</v>
      </c>
      <c r="AT188" t="s">
        <v>336</v>
      </c>
      <c r="AU188">
        <v>65</v>
      </c>
      <c r="AV188" t="s">
        <v>274</v>
      </c>
      <c r="AW188" t="s">
        <v>274</v>
      </c>
      <c r="AX188">
        <v>1</v>
      </c>
      <c r="AY188" t="s">
        <v>83</v>
      </c>
      <c r="AZ188" t="s">
        <v>83</v>
      </c>
      <c r="BA188">
        <v>1</v>
      </c>
      <c r="BB188">
        <v>1</v>
      </c>
      <c r="BC188" t="s">
        <v>83</v>
      </c>
      <c r="BD188">
        <v>1</v>
      </c>
      <c r="BE188">
        <v>9</v>
      </c>
      <c r="BF188">
        <v>65</v>
      </c>
      <c r="BG188" t="s">
        <v>306</v>
      </c>
      <c r="BH188" t="s">
        <v>281</v>
      </c>
      <c r="BI188">
        <v>1</v>
      </c>
      <c r="BJ188">
        <v>1.5</v>
      </c>
      <c r="BK188">
        <v>9.6</v>
      </c>
      <c r="BL188">
        <v>1.2</v>
      </c>
    </row>
    <row r="189" spans="1:64" x14ac:dyDescent="0.25">
      <c r="A189" t="s">
        <v>469</v>
      </c>
      <c r="B189">
        <v>63</v>
      </c>
      <c r="C189" t="s">
        <v>460</v>
      </c>
      <c r="D189" t="s">
        <v>66</v>
      </c>
      <c r="E189" t="s">
        <v>67</v>
      </c>
      <c r="F189" t="s">
        <v>68</v>
      </c>
      <c r="G189" t="s">
        <v>69</v>
      </c>
      <c r="H189" t="s">
        <v>279</v>
      </c>
      <c r="I189" t="s">
        <v>461</v>
      </c>
      <c r="J189" t="s">
        <v>462</v>
      </c>
      <c r="K189" t="s">
        <v>290</v>
      </c>
      <c r="L189">
        <v>1.5</v>
      </c>
      <c r="M189">
        <v>8</v>
      </c>
      <c r="N189" t="s">
        <v>135</v>
      </c>
      <c r="O189" t="s">
        <v>463</v>
      </c>
      <c r="P189" t="s">
        <v>454</v>
      </c>
      <c r="Q189" t="s">
        <v>295</v>
      </c>
      <c r="R189" t="s">
        <v>83</v>
      </c>
      <c r="S189" t="s">
        <v>83</v>
      </c>
      <c r="T189" t="s">
        <v>83</v>
      </c>
      <c r="U189" t="s">
        <v>286</v>
      </c>
      <c r="V189" t="s">
        <v>83</v>
      </c>
      <c r="W189" t="s">
        <v>83</v>
      </c>
      <c r="X189" t="s">
        <v>470</v>
      </c>
      <c r="Y189">
        <v>4</v>
      </c>
      <c r="Z189">
        <v>8.5</v>
      </c>
      <c r="AA189" t="s">
        <v>336</v>
      </c>
      <c r="AB189" t="s">
        <v>78</v>
      </c>
      <c r="AC189">
        <v>0</v>
      </c>
      <c r="AD189">
        <v>2</v>
      </c>
      <c r="AE189">
        <v>1</v>
      </c>
      <c r="AF189">
        <v>2</v>
      </c>
      <c r="AG189">
        <v>1</v>
      </c>
      <c r="AH189">
        <v>1</v>
      </c>
      <c r="AI189" t="s">
        <v>83</v>
      </c>
      <c r="AJ189" t="s">
        <v>83</v>
      </c>
      <c r="AK189">
        <v>55</v>
      </c>
      <c r="AL189">
        <v>130</v>
      </c>
      <c r="AM189" t="s">
        <v>85</v>
      </c>
      <c r="AN189" t="s">
        <v>83</v>
      </c>
      <c r="AO189" t="s">
        <v>274</v>
      </c>
      <c r="AP189" t="s">
        <v>83</v>
      </c>
      <c r="AQ189">
        <v>9</v>
      </c>
      <c r="AR189">
        <v>9</v>
      </c>
      <c r="AS189">
        <v>9</v>
      </c>
      <c r="AT189" t="s">
        <v>336</v>
      </c>
      <c r="AU189">
        <v>68</v>
      </c>
      <c r="AV189" t="s">
        <v>274</v>
      </c>
      <c r="AW189" t="s">
        <v>83</v>
      </c>
      <c r="AX189">
        <v>1</v>
      </c>
      <c r="AY189" t="s">
        <v>83</v>
      </c>
      <c r="AZ189" t="s">
        <v>83</v>
      </c>
      <c r="BA189">
        <v>1</v>
      </c>
      <c r="BB189">
        <v>1</v>
      </c>
      <c r="BC189" t="s">
        <v>83</v>
      </c>
      <c r="BD189">
        <v>1</v>
      </c>
      <c r="BE189">
        <v>9</v>
      </c>
      <c r="BF189">
        <v>75</v>
      </c>
      <c r="BG189" t="s">
        <v>306</v>
      </c>
      <c r="BH189" t="s">
        <v>281</v>
      </c>
      <c r="BI189">
        <v>1</v>
      </c>
      <c r="BJ189">
        <v>1.4</v>
      </c>
      <c r="BK189">
        <v>9.6999999999999993</v>
      </c>
      <c r="BL189">
        <v>1</v>
      </c>
    </row>
    <row r="190" spans="1:64" x14ac:dyDescent="0.25">
      <c r="A190" t="s">
        <v>471</v>
      </c>
      <c r="B190">
        <v>50</v>
      </c>
      <c r="C190" t="s">
        <v>453</v>
      </c>
      <c r="D190" t="s">
        <v>89</v>
      </c>
      <c r="E190" t="s">
        <v>97</v>
      </c>
      <c r="F190" t="s">
        <v>163</v>
      </c>
      <c r="G190" t="s">
        <v>164</v>
      </c>
      <c r="H190" t="s">
        <v>279</v>
      </c>
      <c r="I190" t="s">
        <v>166</v>
      </c>
      <c r="J190" t="s">
        <v>285</v>
      </c>
      <c r="K190" t="s">
        <v>290</v>
      </c>
      <c r="L190">
        <v>2</v>
      </c>
      <c r="M190">
        <v>10</v>
      </c>
      <c r="N190" t="s">
        <v>135</v>
      </c>
      <c r="O190" t="s">
        <v>272</v>
      </c>
      <c r="P190" t="s">
        <v>273</v>
      </c>
      <c r="Q190" t="s">
        <v>295</v>
      </c>
      <c r="R190" t="s">
        <v>274</v>
      </c>
      <c r="S190" t="s">
        <v>274</v>
      </c>
      <c r="T190" t="s">
        <v>274</v>
      </c>
      <c r="U190" t="s">
        <v>286</v>
      </c>
      <c r="V190" t="s">
        <v>274</v>
      </c>
      <c r="W190" t="s">
        <v>274</v>
      </c>
      <c r="X190" t="s">
        <v>324</v>
      </c>
      <c r="Y190">
        <v>5.5</v>
      </c>
      <c r="Z190">
        <v>8</v>
      </c>
      <c r="AA190" t="s">
        <v>266</v>
      </c>
      <c r="AB190" t="s">
        <v>275</v>
      </c>
      <c r="AC190">
        <v>9</v>
      </c>
      <c r="AD190">
        <v>2</v>
      </c>
      <c r="AE190">
        <v>1</v>
      </c>
      <c r="AF190">
        <v>2</v>
      </c>
      <c r="AG190">
        <v>2</v>
      </c>
      <c r="AH190">
        <v>1</v>
      </c>
      <c r="AI190" t="s">
        <v>274</v>
      </c>
      <c r="AJ190" t="s">
        <v>274</v>
      </c>
      <c r="AK190">
        <v>48</v>
      </c>
      <c r="AL190">
        <v>115</v>
      </c>
      <c r="AM190" t="s">
        <v>85</v>
      </c>
      <c r="AN190" t="s">
        <v>274</v>
      </c>
      <c r="AO190" t="s">
        <v>274</v>
      </c>
      <c r="AP190" t="s">
        <v>274</v>
      </c>
      <c r="AQ190">
        <v>9</v>
      </c>
      <c r="AR190">
        <v>8</v>
      </c>
      <c r="AS190">
        <v>9</v>
      </c>
      <c r="AT190" t="s">
        <v>266</v>
      </c>
      <c r="AU190">
        <v>55</v>
      </c>
      <c r="AV190" t="s">
        <v>274</v>
      </c>
      <c r="AW190" t="s">
        <v>274</v>
      </c>
      <c r="AX190">
        <v>1</v>
      </c>
      <c r="AY190" t="s">
        <v>83</v>
      </c>
      <c r="AZ190" t="s">
        <v>274</v>
      </c>
      <c r="BA190">
        <v>1</v>
      </c>
      <c r="BB190">
        <v>1</v>
      </c>
      <c r="BC190" t="s">
        <v>83</v>
      </c>
      <c r="BD190">
        <v>1</v>
      </c>
      <c r="BE190">
        <v>8</v>
      </c>
      <c r="BF190">
        <v>52</v>
      </c>
      <c r="BG190" t="s">
        <v>306</v>
      </c>
      <c r="BH190" t="s">
        <v>281</v>
      </c>
      <c r="BI190">
        <v>1.5</v>
      </c>
      <c r="BJ190">
        <v>2</v>
      </c>
      <c r="BK190">
        <v>9.1999999999999993</v>
      </c>
      <c r="BL190">
        <v>1.8</v>
      </c>
    </row>
    <row r="191" spans="1:64" x14ac:dyDescent="0.25">
      <c r="A191" t="s">
        <v>472</v>
      </c>
      <c r="B191">
        <v>72</v>
      </c>
      <c r="C191" t="s">
        <v>460</v>
      </c>
      <c r="D191" t="s">
        <v>89</v>
      </c>
      <c r="E191" t="s">
        <v>107</v>
      </c>
      <c r="F191" t="s">
        <v>141</v>
      </c>
      <c r="G191" t="s">
        <v>142</v>
      </c>
      <c r="H191" t="s">
        <v>124</v>
      </c>
      <c r="I191" t="s">
        <v>461</v>
      </c>
      <c r="J191" t="s">
        <v>462</v>
      </c>
      <c r="K191" t="s">
        <v>290</v>
      </c>
      <c r="L191">
        <v>1</v>
      </c>
      <c r="M191">
        <v>6</v>
      </c>
      <c r="N191" t="s">
        <v>135</v>
      </c>
      <c r="O191" t="s">
        <v>75</v>
      </c>
      <c r="P191" t="s">
        <v>454</v>
      </c>
      <c r="Q191" t="s">
        <v>473</v>
      </c>
      <c r="R191" t="s">
        <v>83</v>
      </c>
      <c r="S191" t="s">
        <v>83</v>
      </c>
      <c r="T191" t="s">
        <v>83</v>
      </c>
      <c r="U191" t="s">
        <v>286</v>
      </c>
      <c r="V191" t="s">
        <v>83</v>
      </c>
      <c r="W191" t="s">
        <v>83</v>
      </c>
      <c r="X191" t="s">
        <v>474</v>
      </c>
      <c r="Y191">
        <v>4</v>
      </c>
      <c r="Z191">
        <v>9</v>
      </c>
      <c r="AA191" t="s">
        <v>336</v>
      </c>
      <c r="AB191" t="s">
        <v>78</v>
      </c>
      <c r="AC191">
        <v>0</v>
      </c>
      <c r="AD191">
        <v>1</v>
      </c>
      <c r="AE191">
        <v>1</v>
      </c>
      <c r="AF191">
        <v>1</v>
      </c>
      <c r="AG191">
        <v>1</v>
      </c>
      <c r="AH191">
        <v>1</v>
      </c>
      <c r="AI191" t="s">
        <v>83</v>
      </c>
      <c r="AJ191" t="s">
        <v>83</v>
      </c>
      <c r="AK191">
        <v>60</v>
      </c>
      <c r="AL191">
        <v>140</v>
      </c>
      <c r="AM191" t="s">
        <v>85</v>
      </c>
      <c r="AN191" t="s">
        <v>83</v>
      </c>
      <c r="AO191" t="s">
        <v>83</v>
      </c>
      <c r="AP191" t="s">
        <v>83</v>
      </c>
      <c r="AQ191">
        <v>10</v>
      </c>
      <c r="AR191">
        <v>10</v>
      </c>
      <c r="AS191">
        <v>10</v>
      </c>
      <c r="AT191" t="s">
        <v>475</v>
      </c>
      <c r="AU191">
        <v>70</v>
      </c>
      <c r="AV191" t="s">
        <v>83</v>
      </c>
      <c r="AW191" t="s">
        <v>83</v>
      </c>
      <c r="AX191">
        <v>1</v>
      </c>
      <c r="AY191" t="s">
        <v>83</v>
      </c>
      <c r="AZ191" t="s">
        <v>83</v>
      </c>
      <c r="BA191">
        <v>1</v>
      </c>
      <c r="BB191">
        <v>1</v>
      </c>
      <c r="BC191" t="s">
        <v>83</v>
      </c>
      <c r="BD191">
        <v>1</v>
      </c>
      <c r="BE191">
        <v>10</v>
      </c>
      <c r="BF191">
        <v>80</v>
      </c>
      <c r="BG191" t="s">
        <v>306</v>
      </c>
      <c r="BH191" t="s">
        <v>281</v>
      </c>
      <c r="BI191">
        <v>0.8</v>
      </c>
      <c r="BJ191">
        <v>1.2</v>
      </c>
      <c r="BK191">
        <v>9.8000000000000007</v>
      </c>
      <c r="BL191">
        <v>0.8</v>
      </c>
    </row>
    <row r="192" spans="1:64" x14ac:dyDescent="0.25">
      <c r="A192" t="s">
        <v>476</v>
      </c>
      <c r="B192">
        <v>54</v>
      </c>
      <c r="C192" t="s">
        <v>453</v>
      </c>
      <c r="D192" t="s">
        <v>66</v>
      </c>
      <c r="E192" t="s">
        <v>90</v>
      </c>
      <c r="F192" t="s">
        <v>157</v>
      </c>
      <c r="G192" t="s">
        <v>158</v>
      </c>
      <c r="H192" t="s">
        <v>279</v>
      </c>
      <c r="I192" t="s">
        <v>166</v>
      </c>
      <c r="J192" t="s">
        <v>72</v>
      </c>
      <c r="K192" t="s">
        <v>290</v>
      </c>
      <c r="L192">
        <v>2</v>
      </c>
      <c r="M192">
        <v>11</v>
      </c>
      <c r="N192" t="s">
        <v>74</v>
      </c>
      <c r="O192" t="s">
        <v>75</v>
      </c>
      <c r="P192" t="s">
        <v>273</v>
      </c>
      <c r="Q192" t="s">
        <v>295</v>
      </c>
      <c r="R192" t="s">
        <v>274</v>
      </c>
      <c r="S192" t="s">
        <v>274</v>
      </c>
      <c r="T192" t="s">
        <v>274</v>
      </c>
      <c r="U192" t="s">
        <v>286</v>
      </c>
      <c r="V192" t="s">
        <v>274</v>
      </c>
      <c r="W192" t="s">
        <v>274</v>
      </c>
      <c r="X192" t="s">
        <v>300</v>
      </c>
      <c r="Y192">
        <v>5.5</v>
      </c>
      <c r="Z192">
        <v>8</v>
      </c>
      <c r="AA192" t="s">
        <v>266</v>
      </c>
      <c r="AB192" t="s">
        <v>275</v>
      </c>
      <c r="AC192">
        <v>8.5</v>
      </c>
      <c r="AD192">
        <v>2</v>
      </c>
      <c r="AE192">
        <v>1</v>
      </c>
      <c r="AF192">
        <v>2</v>
      </c>
      <c r="AG192">
        <v>2</v>
      </c>
      <c r="AH192">
        <v>1</v>
      </c>
      <c r="AI192" t="s">
        <v>274</v>
      </c>
      <c r="AJ192" t="s">
        <v>274</v>
      </c>
      <c r="AK192">
        <v>48</v>
      </c>
      <c r="AL192">
        <v>115</v>
      </c>
      <c r="AM192" t="s">
        <v>85</v>
      </c>
      <c r="AN192" t="s">
        <v>274</v>
      </c>
      <c r="AO192" t="s">
        <v>274</v>
      </c>
      <c r="AP192" t="s">
        <v>274</v>
      </c>
      <c r="AQ192">
        <v>9</v>
      </c>
      <c r="AR192">
        <v>8</v>
      </c>
      <c r="AS192">
        <v>9</v>
      </c>
      <c r="AT192" t="s">
        <v>266</v>
      </c>
      <c r="AU192">
        <v>56</v>
      </c>
      <c r="AV192" t="s">
        <v>274</v>
      </c>
      <c r="AW192" t="s">
        <v>274</v>
      </c>
      <c r="AX192">
        <v>1</v>
      </c>
      <c r="AY192" t="s">
        <v>83</v>
      </c>
      <c r="AZ192" t="s">
        <v>274</v>
      </c>
      <c r="BA192">
        <v>1</v>
      </c>
      <c r="BB192">
        <v>1</v>
      </c>
      <c r="BC192" t="s">
        <v>83</v>
      </c>
      <c r="BD192">
        <v>1</v>
      </c>
      <c r="BE192">
        <v>8</v>
      </c>
      <c r="BF192">
        <v>52</v>
      </c>
      <c r="BG192" t="s">
        <v>306</v>
      </c>
      <c r="BH192" t="s">
        <v>281</v>
      </c>
      <c r="BI192">
        <v>1.5</v>
      </c>
      <c r="BJ192">
        <v>2</v>
      </c>
      <c r="BK192">
        <v>9.1999999999999993</v>
      </c>
      <c r="BL192">
        <v>1.8</v>
      </c>
    </row>
    <row r="193" spans="1:64" x14ac:dyDescent="0.25">
      <c r="A193" t="s">
        <v>477</v>
      </c>
      <c r="B193">
        <v>68</v>
      </c>
      <c r="C193" t="s">
        <v>460</v>
      </c>
      <c r="D193" t="s">
        <v>89</v>
      </c>
      <c r="E193" t="s">
        <v>114</v>
      </c>
      <c r="F193" t="s">
        <v>145</v>
      </c>
      <c r="G193" t="s">
        <v>146</v>
      </c>
      <c r="H193" t="s">
        <v>124</v>
      </c>
      <c r="I193" t="s">
        <v>461</v>
      </c>
      <c r="J193" t="s">
        <v>462</v>
      </c>
      <c r="K193" t="s">
        <v>290</v>
      </c>
      <c r="L193">
        <v>1.5</v>
      </c>
      <c r="M193">
        <v>7</v>
      </c>
      <c r="N193" t="s">
        <v>135</v>
      </c>
      <c r="O193" t="s">
        <v>463</v>
      </c>
      <c r="P193" t="s">
        <v>454</v>
      </c>
      <c r="Q193" t="s">
        <v>295</v>
      </c>
      <c r="R193" t="s">
        <v>83</v>
      </c>
      <c r="S193" t="s">
        <v>83</v>
      </c>
      <c r="T193" t="s">
        <v>83</v>
      </c>
      <c r="U193" t="s">
        <v>286</v>
      </c>
      <c r="V193" t="s">
        <v>83</v>
      </c>
      <c r="W193" t="s">
        <v>83</v>
      </c>
      <c r="X193" t="s">
        <v>464</v>
      </c>
      <c r="Y193">
        <v>4</v>
      </c>
      <c r="Z193">
        <v>8.5</v>
      </c>
      <c r="AA193" t="s">
        <v>266</v>
      </c>
      <c r="AB193" t="s">
        <v>78</v>
      </c>
      <c r="AC193">
        <v>0</v>
      </c>
      <c r="AD193">
        <v>2</v>
      </c>
      <c r="AE193">
        <v>1</v>
      </c>
      <c r="AF193">
        <v>2</v>
      </c>
      <c r="AG193">
        <v>1</v>
      </c>
      <c r="AH193">
        <v>1</v>
      </c>
      <c r="AI193" t="s">
        <v>83</v>
      </c>
      <c r="AJ193" t="s">
        <v>83</v>
      </c>
      <c r="AK193">
        <v>55</v>
      </c>
      <c r="AL193">
        <v>130</v>
      </c>
      <c r="AM193" t="s">
        <v>85</v>
      </c>
      <c r="AN193" t="s">
        <v>83</v>
      </c>
      <c r="AO193" t="s">
        <v>274</v>
      </c>
      <c r="AP193" t="s">
        <v>83</v>
      </c>
      <c r="AQ193">
        <v>9</v>
      </c>
      <c r="AR193">
        <v>9</v>
      </c>
      <c r="AS193">
        <v>9</v>
      </c>
      <c r="AT193" t="s">
        <v>336</v>
      </c>
      <c r="AU193">
        <v>68</v>
      </c>
      <c r="AV193" t="s">
        <v>274</v>
      </c>
      <c r="AW193" t="s">
        <v>83</v>
      </c>
      <c r="AX193">
        <v>1</v>
      </c>
      <c r="AY193" t="s">
        <v>83</v>
      </c>
      <c r="AZ193" t="s">
        <v>83</v>
      </c>
      <c r="BA193">
        <v>1</v>
      </c>
      <c r="BB193">
        <v>1</v>
      </c>
      <c r="BC193" t="s">
        <v>83</v>
      </c>
      <c r="BD193">
        <v>1</v>
      </c>
      <c r="BE193">
        <v>9</v>
      </c>
      <c r="BF193">
        <v>72</v>
      </c>
      <c r="BG193" t="s">
        <v>306</v>
      </c>
      <c r="BH193" t="s">
        <v>281</v>
      </c>
      <c r="BI193">
        <v>1</v>
      </c>
      <c r="BJ193">
        <v>1.4</v>
      </c>
      <c r="BK193">
        <v>9.6999999999999993</v>
      </c>
      <c r="BL193">
        <v>1</v>
      </c>
    </row>
    <row r="194" spans="1:64" x14ac:dyDescent="0.25">
      <c r="A194" t="s">
        <v>478</v>
      </c>
      <c r="B194">
        <v>57</v>
      </c>
      <c r="C194" t="s">
        <v>453</v>
      </c>
      <c r="D194" t="s">
        <v>66</v>
      </c>
      <c r="E194" t="s">
        <v>107</v>
      </c>
      <c r="F194" t="s">
        <v>108</v>
      </c>
      <c r="G194" t="s">
        <v>109</v>
      </c>
      <c r="H194" t="s">
        <v>279</v>
      </c>
      <c r="I194" t="s">
        <v>166</v>
      </c>
      <c r="J194" t="s">
        <v>311</v>
      </c>
      <c r="K194" t="s">
        <v>290</v>
      </c>
      <c r="L194">
        <v>1.5</v>
      </c>
      <c r="M194">
        <v>12</v>
      </c>
      <c r="N194" t="s">
        <v>272</v>
      </c>
      <c r="O194" t="s">
        <v>135</v>
      </c>
      <c r="P194" t="s">
        <v>454</v>
      </c>
      <c r="Q194" t="s">
        <v>295</v>
      </c>
      <c r="R194" t="s">
        <v>274</v>
      </c>
      <c r="S194" t="s">
        <v>274</v>
      </c>
      <c r="T194" t="s">
        <v>83</v>
      </c>
      <c r="U194" t="s">
        <v>286</v>
      </c>
      <c r="V194" t="s">
        <v>83</v>
      </c>
      <c r="W194" t="s">
        <v>274</v>
      </c>
      <c r="X194" t="s">
        <v>335</v>
      </c>
      <c r="Y194">
        <v>5</v>
      </c>
      <c r="Z194">
        <v>8.5</v>
      </c>
      <c r="AA194" t="s">
        <v>266</v>
      </c>
      <c r="AB194" t="s">
        <v>78</v>
      </c>
      <c r="AC194">
        <v>9.5</v>
      </c>
      <c r="AD194">
        <v>2</v>
      </c>
      <c r="AE194">
        <v>1</v>
      </c>
      <c r="AF194">
        <v>2</v>
      </c>
      <c r="AG194">
        <v>2</v>
      </c>
      <c r="AH194">
        <v>1</v>
      </c>
      <c r="AI194" t="s">
        <v>274</v>
      </c>
      <c r="AJ194" t="s">
        <v>83</v>
      </c>
      <c r="AK194">
        <v>52</v>
      </c>
      <c r="AL194">
        <v>125</v>
      </c>
      <c r="AM194" t="s">
        <v>85</v>
      </c>
      <c r="AN194" t="s">
        <v>274</v>
      </c>
      <c r="AO194" t="s">
        <v>274</v>
      </c>
      <c r="AP194" t="s">
        <v>83</v>
      </c>
      <c r="AQ194">
        <v>9</v>
      </c>
      <c r="AR194">
        <v>8</v>
      </c>
      <c r="AS194">
        <v>9</v>
      </c>
      <c r="AT194" t="s">
        <v>336</v>
      </c>
      <c r="AU194">
        <v>60</v>
      </c>
      <c r="AV194" t="s">
        <v>274</v>
      </c>
      <c r="AW194" t="s">
        <v>274</v>
      </c>
      <c r="AX194">
        <v>1</v>
      </c>
      <c r="AY194" t="s">
        <v>83</v>
      </c>
      <c r="AZ194" t="s">
        <v>83</v>
      </c>
      <c r="BA194">
        <v>1</v>
      </c>
      <c r="BB194">
        <v>1</v>
      </c>
      <c r="BC194" t="s">
        <v>83</v>
      </c>
      <c r="BD194">
        <v>1</v>
      </c>
      <c r="BE194">
        <v>9</v>
      </c>
      <c r="BF194">
        <v>62</v>
      </c>
      <c r="BG194" t="s">
        <v>306</v>
      </c>
      <c r="BH194" t="s">
        <v>281</v>
      </c>
      <c r="BI194">
        <v>1.2</v>
      </c>
      <c r="BJ194">
        <v>1.8</v>
      </c>
      <c r="BK194">
        <v>9.5</v>
      </c>
      <c r="BL194">
        <v>1.5</v>
      </c>
    </row>
    <row r="195" spans="1:64" x14ac:dyDescent="0.25">
      <c r="A195" t="s">
        <v>479</v>
      </c>
      <c r="B195">
        <v>64</v>
      </c>
      <c r="C195" t="s">
        <v>460</v>
      </c>
      <c r="D195" t="s">
        <v>66</v>
      </c>
      <c r="E195" t="s">
        <v>97</v>
      </c>
      <c r="F195" t="s">
        <v>138</v>
      </c>
      <c r="G195" t="s">
        <v>139</v>
      </c>
      <c r="H195" t="s">
        <v>124</v>
      </c>
      <c r="I195" t="s">
        <v>461</v>
      </c>
      <c r="J195" t="s">
        <v>462</v>
      </c>
      <c r="K195" t="s">
        <v>290</v>
      </c>
      <c r="L195">
        <v>1.5</v>
      </c>
      <c r="M195">
        <v>6</v>
      </c>
      <c r="N195" t="s">
        <v>135</v>
      </c>
      <c r="O195" t="s">
        <v>463</v>
      </c>
      <c r="P195" t="s">
        <v>454</v>
      </c>
      <c r="Q195" t="s">
        <v>295</v>
      </c>
      <c r="R195" t="s">
        <v>83</v>
      </c>
      <c r="S195" t="s">
        <v>83</v>
      </c>
      <c r="T195" t="s">
        <v>83</v>
      </c>
      <c r="U195" t="s">
        <v>286</v>
      </c>
      <c r="V195" t="s">
        <v>83</v>
      </c>
      <c r="W195" t="s">
        <v>83</v>
      </c>
      <c r="X195" t="s">
        <v>470</v>
      </c>
      <c r="Y195">
        <v>4</v>
      </c>
      <c r="Z195">
        <v>8.5</v>
      </c>
      <c r="AA195" t="s">
        <v>336</v>
      </c>
      <c r="AB195" t="s">
        <v>78</v>
      </c>
      <c r="AC195">
        <v>0</v>
      </c>
      <c r="AD195">
        <v>2</v>
      </c>
      <c r="AE195">
        <v>1</v>
      </c>
      <c r="AF195">
        <v>2</v>
      </c>
      <c r="AG195">
        <v>1</v>
      </c>
      <c r="AH195">
        <v>1</v>
      </c>
      <c r="AI195" t="s">
        <v>83</v>
      </c>
      <c r="AJ195" t="s">
        <v>83</v>
      </c>
      <c r="AK195">
        <v>55</v>
      </c>
      <c r="AL195">
        <v>130</v>
      </c>
      <c r="AM195" t="s">
        <v>85</v>
      </c>
      <c r="AN195" t="s">
        <v>83</v>
      </c>
      <c r="AO195" t="s">
        <v>274</v>
      </c>
      <c r="AP195" t="s">
        <v>83</v>
      </c>
      <c r="AQ195">
        <v>9</v>
      </c>
      <c r="AR195">
        <v>9</v>
      </c>
      <c r="AS195">
        <v>9</v>
      </c>
      <c r="AT195" t="s">
        <v>336</v>
      </c>
      <c r="AU195">
        <v>68</v>
      </c>
      <c r="AV195" t="s">
        <v>274</v>
      </c>
      <c r="AW195" t="s">
        <v>83</v>
      </c>
      <c r="AX195">
        <v>1</v>
      </c>
      <c r="AY195" t="s">
        <v>83</v>
      </c>
      <c r="AZ195" t="s">
        <v>83</v>
      </c>
      <c r="BA195">
        <v>1</v>
      </c>
      <c r="BB195">
        <v>1</v>
      </c>
      <c r="BC195" t="s">
        <v>83</v>
      </c>
      <c r="BD195">
        <v>1</v>
      </c>
      <c r="BE195">
        <v>9</v>
      </c>
      <c r="BF195">
        <v>75</v>
      </c>
      <c r="BG195" t="s">
        <v>306</v>
      </c>
      <c r="BH195" t="s">
        <v>281</v>
      </c>
      <c r="BI195">
        <v>1</v>
      </c>
      <c r="BJ195">
        <v>1.4</v>
      </c>
      <c r="BK195">
        <v>9.6999999999999993</v>
      </c>
      <c r="BL195">
        <v>1</v>
      </c>
    </row>
    <row r="196" spans="1:64" x14ac:dyDescent="0.25">
      <c r="A196" t="s">
        <v>480</v>
      </c>
      <c r="B196">
        <v>51</v>
      </c>
      <c r="C196" t="s">
        <v>453</v>
      </c>
      <c r="D196" t="s">
        <v>89</v>
      </c>
      <c r="E196" t="s">
        <v>90</v>
      </c>
      <c r="F196" t="s">
        <v>91</v>
      </c>
      <c r="G196" t="s">
        <v>92</v>
      </c>
      <c r="H196" t="s">
        <v>279</v>
      </c>
      <c r="I196" t="s">
        <v>166</v>
      </c>
      <c r="J196" t="s">
        <v>315</v>
      </c>
      <c r="K196" t="s">
        <v>290</v>
      </c>
      <c r="L196">
        <v>1.5</v>
      </c>
      <c r="M196">
        <v>13</v>
      </c>
      <c r="N196" t="s">
        <v>168</v>
      </c>
      <c r="O196" t="s">
        <v>272</v>
      </c>
      <c r="P196" t="s">
        <v>454</v>
      </c>
      <c r="Q196" t="s">
        <v>295</v>
      </c>
      <c r="R196" t="s">
        <v>274</v>
      </c>
      <c r="S196" t="s">
        <v>274</v>
      </c>
      <c r="T196" t="s">
        <v>83</v>
      </c>
      <c r="U196" t="s">
        <v>286</v>
      </c>
      <c r="V196" t="s">
        <v>83</v>
      </c>
      <c r="W196" t="s">
        <v>274</v>
      </c>
      <c r="X196" t="s">
        <v>280</v>
      </c>
      <c r="Y196">
        <v>5</v>
      </c>
      <c r="Z196">
        <v>8.5</v>
      </c>
      <c r="AA196" t="s">
        <v>266</v>
      </c>
      <c r="AB196" t="s">
        <v>78</v>
      </c>
      <c r="AC196">
        <v>9</v>
      </c>
      <c r="AD196">
        <v>2</v>
      </c>
      <c r="AE196">
        <v>1</v>
      </c>
      <c r="AF196">
        <v>2</v>
      </c>
      <c r="AG196">
        <v>1</v>
      </c>
      <c r="AH196">
        <v>1</v>
      </c>
      <c r="AI196" t="s">
        <v>274</v>
      </c>
      <c r="AJ196" t="s">
        <v>83</v>
      </c>
      <c r="AK196">
        <v>52</v>
      </c>
      <c r="AL196">
        <v>125</v>
      </c>
      <c r="AM196" t="s">
        <v>85</v>
      </c>
      <c r="AN196" t="s">
        <v>274</v>
      </c>
      <c r="AO196" t="s">
        <v>274</v>
      </c>
      <c r="AP196" t="s">
        <v>83</v>
      </c>
      <c r="AQ196">
        <v>9</v>
      </c>
      <c r="AR196">
        <v>8</v>
      </c>
      <c r="AS196">
        <v>9</v>
      </c>
      <c r="AT196" t="s">
        <v>336</v>
      </c>
      <c r="AU196">
        <v>60</v>
      </c>
      <c r="AV196" t="s">
        <v>274</v>
      </c>
      <c r="AW196" t="s">
        <v>274</v>
      </c>
      <c r="AX196">
        <v>1</v>
      </c>
      <c r="AY196" t="s">
        <v>83</v>
      </c>
      <c r="AZ196" t="s">
        <v>83</v>
      </c>
      <c r="BA196">
        <v>1</v>
      </c>
      <c r="BB196">
        <v>1</v>
      </c>
      <c r="BC196" t="s">
        <v>83</v>
      </c>
      <c r="BD196">
        <v>1</v>
      </c>
      <c r="BE196">
        <v>9</v>
      </c>
      <c r="BF196">
        <v>60</v>
      </c>
      <c r="BG196" t="s">
        <v>306</v>
      </c>
      <c r="BH196" t="s">
        <v>281</v>
      </c>
      <c r="BI196">
        <v>1</v>
      </c>
      <c r="BJ196">
        <v>1.5</v>
      </c>
      <c r="BK196">
        <v>9.6</v>
      </c>
      <c r="BL196">
        <v>1.2</v>
      </c>
    </row>
    <row r="197" spans="1:64" x14ac:dyDescent="0.25">
      <c r="A197" t="s">
        <v>481</v>
      </c>
      <c r="B197">
        <v>70</v>
      </c>
      <c r="C197" t="s">
        <v>460</v>
      </c>
      <c r="D197" t="s">
        <v>66</v>
      </c>
      <c r="E197" t="s">
        <v>107</v>
      </c>
      <c r="F197" t="s">
        <v>122</v>
      </c>
      <c r="G197" t="s">
        <v>123</v>
      </c>
      <c r="H197" t="s">
        <v>124</v>
      </c>
      <c r="I197" t="s">
        <v>461</v>
      </c>
      <c r="J197" t="s">
        <v>462</v>
      </c>
      <c r="K197" t="s">
        <v>290</v>
      </c>
      <c r="L197">
        <v>1</v>
      </c>
      <c r="M197">
        <v>5</v>
      </c>
      <c r="N197" t="s">
        <v>135</v>
      </c>
      <c r="O197" t="s">
        <v>463</v>
      </c>
      <c r="P197" t="s">
        <v>454</v>
      </c>
      <c r="Q197" t="s">
        <v>473</v>
      </c>
      <c r="R197" t="s">
        <v>83</v>
      </c>
      <c r="S197" t="s">
        <v>83</v>
      </c>
      <c r="T197" t="s">
        <v>83</v>
      </c>
      <c r="U197" t="s">
        <v>286</v>
      </c>
      <c r="V197" t="s">
        <v>83</v>
      </c>
      <c r="W197" t="s">
        <v>83</v>
      </c>
      <c r="X197" t="s">
        <v>474</v>
      </c>
      <c r="Y197">
        <v>4</v>
      </c>
      <c r="Z197">
        <v>9</v>
      </c>
      <c r="AA197" t="s">
        <v>336</v>
      </c>
      <c r="AB197" t="s">
        <v>78</v>
      </c>
      <c r="AC197">
        <v>0</v>
      </c>
      <c r="AD197">
        <v>1</v>
      </c>
      <c r="AE197">
        <v>1</v>
      </c>
      <c r="AF197">
        <v>1</v>
      </c>
      <c r="AG197">
        <v>1</v>
      </c>
      <c r="AH197">
        <v>1</v>
      </c>
      <c r="AI197" t="s">
        <v>83</v>
      </c>
      <c r="AJ197" t="s">
        <v>83</v>
      </c>
      <c r="AK197">
        <v>60</v>
      </c>
      <c r="AL197">
        <v>140</v>
      </c>
      <c r="AM197" t="s">
        <v>85</v>
      </c>
      <c r="AN197" t="s">
        <v>83</v>
      </c>
      <c r="AO197" t="s">
        <v>83</v>
      </c>
      <c r="AP197" t="s">
        <v>83</v>
      </c>
      <c r="AQ197">
        <v>10</v>
      </c>
      <c r="AR197">
        <v>10</v>
      </c>
      <c r="AS197">
        <v>10</v>
      </c>
      <c r="AT197" t="s">
        <v>475</v>
      </c>
      <c r="AU197">
        <v>70</v>
      </c>
      <c r="AV197" t="s">
        <v>83</v>
      </c>
      <c r="AW197" t="s">
        <v>83</v>
      </c>
      <c r="AX197">
        <v>1</v>
      </c>
      <c r="AY197" t="s">
        <v>83</v>
      </c>
      <c r="AZ197" t="s">
        <v>83</v>
      </c>
      <c r="BA197">
        <v>1</v>
      </c>
      <c r="BB197">
        <v>1</v>
      </c>
      <c r="BC197" t="s">
        <v>83</v>
      </c>
      <c r="BD197">
        <v>1</v>
      </c>
      <c r="BE197">
        <v>10</v>
      </c>
      <c r="BF197">
        <v>82</v>
      </c>
      <c r="BG197" t="s">
        <v>306</v>
      </c>
      <c r="BH197" t="s">
        <v>281</v>
      </c>
      <c r="BI197">
        <v>0.8</v>
      </c>
      <c r="BJ197">
        <v>1.2</v>
      </c>
      <c r="BK197">
        <v>9.8000000000000007</v>
      </c>
      <c r="BL197">
        <v>0.8</v>
      </c>
    </row>
    <row r="198" spans="1:64" x14ac:dyDescent="0.25">
      <c r="A198" t="s">
        <v>482</v>
      </c>
      <c r="B198">
        <v>55</v>
      </c>
      <c r="C198" t="s">
        <v>453</v>
      </c>
      <c r="D198" t="s">
        <v>89</v>
      </c>
      <c r="E198" t="s">
        <v>67</v>
      </c>
      <c r="F198" t="s">
        <v>119</v>
      </c>
      <c r="G198" t="s">
        <v>120</v>
      </c>
      <c r="H198" t="s">
        <v>279</v>
      </c>
      <c r="I198" t="s">
        <v>166</v>
      </c>
      <c r="J198" t="s">
        <v>289</v>
      </c>
      <c r="K198" t="s">
        <v>290</v>
      </c>
      <c r="L198">
        <v>2</v>
      </c>
      <c r="M198">
        <v>11</v>
      </c>
      <c r="N198" t="s">
        <v>75</v>
      </c>
      <c r="O198" t="s">
        <v>272</v>
      </c>
      <c r="P198" t="s">
        <v>273</v>
      </c>
      <c r="Q198" t="s">
        <v>295</v>
      </c>
      <c r="R198" t="s">
        <v>274</v>
      </c>
      <c r="S198" t="s">
        <v>274</v>
      </c>
      <c r="T198" t="s">
        <v>274</v>
      </c>
      <c r="U198" t="s">
        <v>286</v>
      </c>
      <c r="V198" t="s">
        <v>274</v>
      </c>
      <c r="W198" t="s">
        <v>274</v>
      </c>
      <c r="X198" t="s">
        <v>313</v>
      </c>
      <c r="Y198">
        <v>5.5</v>
      </c>
      <c r="Z198">
        <v>8</v>
      </c>
      <c r="AA198" t="s">
        <v>266</v>
      </c>
      <c r="AB198" t="s">
        <v>275</v>
      </c>
      <c r="AC198">
        <v>9</v>
      </c>
      <c r="AD198">
        <v>2</v>
      </c>
      <c r="AE198">
        <v>1</v>
      </c>
      <c r="AF198">
        <v>2</v>
      </c>
      <c r="AG198">
        <v>2</v>
      </c>
      <c r="AH198">
        <v>1</v>
      </c>
      <c r="AI198" t="s">
        <v>274</v>
      </c>
      <c r="AJ198" t="s">
        <v>274</v>
      </c>
      <c r="AK198">
        <v>48</v>
      </c>
      <c r="AL198">
        <v>115</v>
      </c>
      <c r="AM198" t="s">
        <v>85</v>
      </c>
      <c r="AN198" t="s">
        <v>274</v>
      </c>
      <c r="AO198" t="s">
        <v>274</v>
      </c>
      <c r="AP198" t="s">
        <v>274</v>
      </c>
      <c r="AQ198">
        <v>9</v>
      </c>
      <c r="AR198">
        <v>8</v>
      </c>
      <c r="AS198">
        <v>9</v>
      </c>
      <c r="AT198" t="s">
        <v>266</v>
      </c>
      <c r="AU198">
        <v>56</v>
      </c>
      <c r="AV198" t="s">
        <v>274</v>
      </c>
      <c r="AW198" t="s">
        <v>274</v>
      </c>
      <c r="AX198">
        <v>1</v>
      </c>
      <c r="AY198" t="s">
        <v>83</v>
      </c>
      <c r="AZ198" t="s">
        <v>274</v>
      </c>
      <c r="BA198">
        <v>1</v>
      </c>
      <c r="BB198">
        <v>1</v>
      </c>
      <c r="BC198" t="s">
        <v>83</v>
      </c>
      <c r="BD198">
        <v>1</v>
      </c>
      <c r="BE198">
        <v>8</v>
      </c>
      <c r="BF198">
        <v>52</v>
      </c>
      <c r="BG198" t="s">
        <v>306</v>
      </c>
      <c r="BH198" t="s">
        <v>281</v>
      </c>
      <c r="BI198">
        <v>1.5</v>
      </c>
      <c r="BJ198">
        <v>2</v>
      </c>
      <c r="BK198">
        <v>9.1999999999999993</v>
      </c>
      <c r="BL198">
        <v>1.8</v>
      </c>
    </row>
    <row r="199" spans="1:64" x14ac:dyDescent="0.25">
      <c r="A199" t="s">
        <v>483</v>
      </c>
      <c r="B199">
        <v>62</v>
      </c>
      <c r="C199" t="s">
        <v>460</v>
      </c>
      <c r="D199" t="s">
        <v>89</v>
      </c>
      <c r="E199" t="s">
        <v>97</v>
      </c>
      <c r="F199" t="s">
        <v>181</v>
      </c>
      <c r="G199" t="s">
        <v>182</v>
      </c>
      <c r="H199" t="s">
        <v>124</v>
      </c>
      <c r="I199" t="s">
        <v>461</v>
      </c>
      <c r="J199" t="s">
        <v>462</v>
      </c>
      <c r="K199" t="s">
        <v>290</v>
      </c>
      <c r="L199">
        <v>1.5</v>
      </c>
      <c r="M199">
        <v>7</v>
      </c>
      <c r="N199" t="s">
        <v>135</v>
      </c>
      <c r="O199" t="s">
        <v>463</v>
      </c>
      <c r="P199" t="s">
        <v>454</v>
      </c>
      <c r="Q199" t="s">
        <v>295</v>
      </c>
      <c r="R199" t="s">
        <v>83</v>
      </c>
      <c r="S199" t="s">
        <v>83</v>
      </c>
      <c r="T199" t="s">
        <v>83</v>
      </c>
      <c r="U199" t="s">
        <v>286</v>
      </c>
      <c r="V199" t="s">
        <v>83</v>
      </c>
      <c r="W199" t="s">
        <v>83</v>
      </c>
      <c r="X199" t="s">
        <v>470</v>
      </c>
      <c r="Y199">
        <v>4</v>
      </c>
      <c r="Z199">
        <v>8.5</v>
      </c>
      <c r="AA199" t="s">
        <v>336</v>
      </c>
      <c r="AB199" t="s">
        <v>78</v>
      </c>
      <c r="AC199">
        <v>0</v>
      </c>
      <c r="AD199">
        <v>2</v>
      </c>
      <c r="AE199">
        <v>1</v>
      </c>
      <c r="AF199">
        <v>2</v>
      </c>
      <c r="AG199">
        <v>1</v>
      </c>
      <c r="AH199">
        <v>1</v>
      </c>
      <c r="AI199" t="s">
        <v>83</v>
      </c>
      <c r="AJ199" t="s">
        <v>83</v>
      </c>
      <c r="AK199">
        <v>55</v>
      </c>
      <c r="AL199">
        <v>130</v>
      </c>
      <c r="AM199" t="s">
        <v>85</v>
      </c>
      <c r="AN199" t="s">
        <v>83</v>
      </c>
      <c r="AO199" t="s">
        <v>274</v>
      </c>
      <c r="AP199" t="s">
        <v>83</v>
      </c>
      <c r="AQ199">
        <v>9</v>
      </c>
      <c r="AR199">
        <v>9</v>
      </c>
      <c r="AS199">
        <v>9</v>
      </c>
      <c r="AT199" t="s">
        <v>336</v>
      </c>
      <c r="AU199">
        <v>68</v>
      </c>
      <c r="AV199" t="s">
        <v>274</v>
      </c>
      <c r="AW199" t="s">
        <v>83</v>
      </c>
      <c r="AX199">
        <v>1</v>
      </c>
      <c r="AY199" t="s">
        <v>83</v>
      </c>
      <c r="AZ199" t="s">
        <v>83</v>
      </c>
      <c r="BA199">
        <v>1</v>
      </c>
      <c r="BB199">
        <v>1</v>
      </c>
      <c r="BC199" t="s">
        <v>83</v>
      </c>
      <c r="BD199">
        <v>1</v>
      </c>
      <c r="BE199">
        <v>9</v>
      </c>
      <c r="BF199">
        <v>72</v>
      </c>
      <c r="BG199" t="s">
        <v>306</v>
      </c>
      <c r="BH199" t="s">
        <v>281</v>
      </c>
      <c r="BI199">
        <v>1</v>
      </c>
      <c r="BJ199">
        <v>1.4</v>
      </c>
      <c r="BK199">
        <v>9.6999999999999993</v>
      </c>
      <c r="BL199">
        <v>1</v>
      </c>
    </row>
    <row r="200" spans="1:64" x14ac:dyDescent="0.25">
      <c r="A200" t="s">
        <v>484</v>
      </c>
      <c r="B200">
        <v>53</v>
      </c>
      <c r="C200" t="s">
        <v>453</v>
      </c>
      <c r="D200" t="s">
        <v>66</v>
      </c>
      <c r="E200" t="s">
        <v>114</v>
      </c>
      <c r="F200" t="s">
        <v>173</v>
      </c>
      <c r="G200" t="s">
        <v>174</v>
      </c>
      <c r="H200" t="s">
        <v>124</v>
      </c>
      <c r="I200" t="s">
        <v>166</v>
      </c>
      <c r="J200" t="s">
        <v>285</v>
      </c>
      <c r="K200" t="s">
        <v>290</v>
      </c>
      <c r="L200">
        <v>2</v>
      </c>
      <c r="M200">
        <v>10</v>
      </c>
      <c r="N200" t="s">
        <v>135</v>
      </c>
      <c r="O200" t="s">
        <v>75</v>
      </c>
      <c r="P200" t="s">
        <v>273</v>
      </c>
      <c r="Q200" t="s">
        <v>295</v>
      </c>
      <c r="R200" t="s">
        <v>274</v>
      </c>
      <c r="S200" t="s">
        <v>274</v>
      </c>
      <c r="T200" t="s">
        <v>274</v>
      </c>
      <c r="U200" t="s">
        <v>286</v>
      </c>
      <c r="V200" t="s">
        <v>274</v>
      </c>
      <c r="W200" t="s">
        <v>274</v>
      </c>
      <c r="X200" t="s">
        <v>457</v>
      </c>
      <c r="Y200">
        <v>5.5</v>
      </c>
      <c r="Z200">
        <v>8</v>
      </c>
      <c r="AA200" t="s">
        <v>266</v>
      </c>
      <c r="AB200" t="s">
        <v>275</v>
      </c>
      <c r="AC200">
        <v>8.5</v>
      </c>
      <c r="AD200">
        <v>2</v>
      </c>
      <c r="AE200">
        <v>1</v>
      </c>
      <c r="AF200">
        <v>2</v>
      </c>
      <c r="AG200">
        <v>2</v>
      </c>
      <c r="AH200">
        <v>1</v>
      </c>
      <c r="AI200" t="s">
        <v>274</v>
      </c>
      <c r="AJ200" t="s">
        <v>274</v>
      </c>
      <c r="AK200">
        <v>48</v>
      </c>
      <c r="AL200">
        <v>115</v>
      </c>
      <c r="AM200" t="s">
        <v>85</v>
      </c>
      <c r="AN200" t="s">
        <v>274</v>
      </c>
      <c r="AO200" t="s">
        <v>274</v>
      </c>
      <c r="AP200" t="s">
        <v>274</v>
      </c>
      <c r="AQ200">
        <v>9</v>
      </c>
      <c r="AR200">
        <v>8</v>
      </c>
      <c r="AS200">
        <v>9</v>
      </c>
      <c r="AT200" t="s">
        <v>266</v>
      </c>
      <c r="AU200">
        <v>56</v>
      </c>
      <c r="AV200" t="s">
        <v>274</v>
      </c>
      <c r="AW200" t="s">
        <v>274</v>
      </c>
      <c r="AX200">
        <v>1</v>
      </c>
      <c r="AY200" t="s">
        <v>83</v>
      </c>
      <c r="AZ200" t="s">
        <v>274</v>
      </c>
      <c r="BA200">
        <v>1</v>
      </c>
      <c r="BB200">
        <v>1</v>
      </c>
      <c r="BC200" t="s">
        <v>83</v>
      </c>
      <c r="BD200">
        <v>1</v>
      </c>
      <c r="BE200">
        <v>8</v>
      </c>
      <c r="BF200">
        <v>52</v>
      </c>
      <c r="BG200" t="s">
        <v>306</v>
      </c>
      <c r="BH200" t="s">
        <v>281</v>
      </c>
      <c r="BI200">
        <v>1.5</v>
      </c>
      <c r="BJ200">
        <v>2</v>
      </c>
      <c r="BK200">
        <v>9.1999999999999993</v>
      </c>
      <c r="BL200">
        <v>1.8</v>
      </c>
    </row>
    <row r="201" spans="1:64" x14ac:dyDescent="0.25">
      <c r="A201" t="s">
        <v>485</v>
      </c>
      <c r="B201">
        <v>75</v>
      </c>
      <c r="C201" t="s">
        <v>460</v>
      </c>
      <c r="D201" t="s">
        <v>89</v>
      </c>
      <c r="E201" t="s">
        <v>107</v>
      </c>
      <c r="F201" t="s">
        <v>108</v>
      </c>
      <c r="G201" t="s">
        <v>109</v>
      </c>
      <c r="H201" t="s">
        <v>124</v>
      </c>
      <c r="I201" t="s">
        <v>461</v>
      </c>
      <c r="J201" t="s">
        <v>462</v>
      </c>
      <c r="K201" t="s">
        <v>290</v>
      </c>
      <c r="L201">
        <v>0.5</v>
      </c>
      <c r="M201">
        <v>4</v>
      </c>
      <c r="N201" t="s">
        <v>135</v>
      </c>
      <c r="O201" t="s">
        <v>456</v>
      </c>
      <c r="P201" t="s">
        <v>486</v>
      </c>
      <c r="Q201" t="s">
        <v>473</v>
      </c>
      <c r="R201" t="s">
        <v>83</v>
      </c>
      <c r="S201" t="s">
        <v>83</v>
      </c>
      <c r="T201" t="s">
        <v>83</v>
      </c>
      <c r="U201" t="s">
        <v>286</v>
      </c>
      <c r="V201" t="s">
        <v>83</v>
      </c>
      <c r="W201" t="s">
        <v>83</v>
      </c>
      <c r="X201" t="s">
        <v>474</v>
      </c>
      <c r="Y201">
        <v>3</v>
      </c>
      <c r="Z201">
        <v>9</v>
      </c>
      <c r="AA201" t="s">
        <v>336</v>
      </c>
      <c r="AB201" t="s">
        <v>78</v>
      </c>
      <c r="AC201">
        <v>0</v>
      </c>
      <c r="AD201">
        <v>1</v>
      </c>
      <c r="AE201">
        <v>1</v>
      </c>
      <c r="AF201">
        <v>1</v>
      </c>
      <c r="AG201">
        <v>1</v>
      </c>
      <c r="AH201">
        <v>1</v>
      </c>
      <c r="AI201" t="s">
        <v>83</v>
      </c>
      <c r="AJ201" t="s">
        <v>83</v>
      </c>
      <c r="AK201">
        <v>65</v>
      </c>
      <c r="AL201">
        <v>150</v>
      </c>
      <c r="AM201" t="s">
        <v>85</v>
      </c>
      <c r="AN201" t="s">
        <v>83</v>
      </c>
      <c r="AO201" t="s">
        <v>83</v>
      </c>
      <c r="AP201" t="s">
        <v>83</v>
      </c>
      <c r="AQ201">
        <v>10</v>
      </c>
      <c r="AR201">
        <v>10</v>
      </c>
      <c r="AS201">
        <v>10</v>
      </c>
      <c r="AT201" t="s">
        <v>475</v>
      </c>
      <c r="AU201">
        <v>72</v>
      </c>
      <c r="AV201" t="s">
        <v>83</v>
      </c>
      <c r="AW201" t="s">
        <v>83</v>
      </c>
      <c r="AX201">
        <v>1</v>
      </c>
      <c r="AY201" t="s">
        <v>83</v>
      </c>
      <c r="AZ201" t="s">
        <v>83</v>
      </c>
      <c r="BA201">
        <v>1</v>
      </c>
      <c r="BB201">
        <v>1</v>
      </c>
      <c r="BC201" t="s">
        <v>83</v>
      </c>
      <c r="BD201">
        <v>0</v>
      </c>
      <c r="BE201">
        <v>10</v>
      </c>
      <c r="BF201">
        <v>90</v>
      </c>
      <c r="BG201" t="s">
        <v>306</v>
      </c>
      <c r="BH201" t="s">
        <v>281</v>
      </c>
      <c r="BI201">
        <v>0.5</v>
      </c>
      <c r="BJ201">
        <v>1</v>
      </c>
      <c r="BK201">
        <v>9.9</v>
      </c>
      <c r="BL201">
        <v>0.5</v>
      </c>
    </row>
    <row r="202" spans="1:64" x14ac:dyDescent="0.25">
      <c r="A202" t="s">
        <v>487</v>
      </c>
      <c r="B202">
        <v>59</v>
      </c>
      <c r="C202" t="s">
        <v>453</v>
      </c>
      <c r="D202" t="s">
        <v>66</v>
      </c>
      <c r="E202" t="s">
        <v>90</v>
      </c>
      <c r="F202" t="s">
        <v>222</v>
      </c>
      <c r="G202" t="s">
        <v>223</v>
      </c>
      <c r="H202" t="s">
        <v>124</v>
      </c>
      <c r="I202" t="s">
        <v>166</v>
      </c>
      <c r="J202" t="s">
        <v>179</v>
      </c>
      <c r="K202" t="s">
        <v>290</v>
      </c>
      <c r="L202">
        <v>2</v>
      </c>
      <c r="M202">
        <v>9</v>
      </c>
      <c r="N202" t="s">
        <v>135</v>
      </c>
      <c r="O202" t="s">
        <v>488</v>
      </c>
      <c r="P202" t="s">
        <v>273</v>
      </c>
      <c r="Q202" t="s">
        <v>295</v>
      </c>
      <c r="R202" t="s">
        <v>274</v>
      </c>
      <c r="S202" t="s">
        <v>274</v>
      </c>
      <c r="T202" t="s">
        <v>274</v>
      </c>
      <c r="U202" t="s">
        <v>286</v>
      </c>
      <c r="V202" t="s">
        <v>274</v>
      </c>
      <c r="W202" t="s">
        <v>274</v>
      </c>
      <c r="X202" t="s">
        <v>489</v>
      </c>
      <c r="Y202">
        <v>5.5</v>
      </c>
      <c r="Z202">
        <v>8</v>
      </c>
      <c r="AA202" t="s">
        <v>266</v>
      </c>
      <c r="AB202" t="s">
        <v>103</v>
      </c>
      <c r="AC202">
        <v>8</v>
      </c>
      <c r="AD202">
        <v>2</v>
      </c>
      <c r="AE202">
        <v>1</v>
      </c>
      <c r="AF202">
        <v>2</v>
      </c>
      <c r="AG202">
        <v>2</v>
      </c>
      <c r="AH202">
        <v>1</v>
      </c>
      <c r="AI202" t="s">
        <v>274</v>
      </c>
      <c r="AJ202" t="s">
        <v>274</v>
      </c>
      <c r="AK202">
        <v>48</v>
      </c>
      <c r="AL202">
        <v>115</v>
      </c>
      <c r="AM202" t="s">
        <v>85</v>
      </c>
      <c r="AN202" t="s">
        <v>274</v>
      </c>
      <c r="AO202" t="s">
        <v>274</v>
      </c>
      <c r="AP202" t="s">
        <v>274</v>
      </c>
      <c r="AQ202">
        <v>9</v>
      </c>
      <c r="AR202">
        <v>8</v>
      </c>
      <c r="AS202">
        <v>9</v>
      </c>
      <c r="AT202" t="s">
        <v>266</v>
      </c>
      <c r="AU202">
        <v>55</v>
      </c>
      <c r="AV202" t="s">
        <v>274</v>
      </c>
      <c r="AW202" t="s">
        <v>274</v>
      </c>
      <c r="AX202">
        <v>1</v>
      </c>
      <c r="AY202" t="s">
        <v>83</v>
      </c>
      <c r="AZ202" t="s">
        <v>274</v>
      </c>
      <c r="BA202">
        <v>1</v>
      </c>
      <c r="BB202">
        <v>1</v>
      </c>
      <c r="BC202" t="s">
        <v>83</v>
      </c>
      <c r="BD202">
        <v>1</v>
      </c>
      <c r="BE202">
        <v>8</v>
      </c>
      <c r="BF202">
        <v>52</v>
      </c>
      <c r="BG202" t="s">
        <v>306</v>
      </c>
      <c r="BH202" t="s">
        <v>281</v>
      </c>
      <c r="BI202">
        <v>1.5</v>
      </c>
      <c r="BJ202">
        <v>2</v>
      </c>
      <c r="BK202">
        <v>9.1999999999999993</v>
      </c>
      <c r="BL202">
        <v>1.8</v>
      </c>
    </row>
    <row r="203" spans="1:64" x14ac:dyDescent="0.25">
      <c r="A203" t="s">
        <v>490</v>
      </c>
      <c r="B203">
        <v>66</v>
      </c>
      <c r="C203" t="s">
        <v>460</v>
      </c>
      <c r="D203" t="s">
        <v>89</v>
      </c>
      <c r="E203" t="s">
        <v>67</v>
      </c>
      <c r="F203" t="s">
        <v>68</v>
      </c>
      <c r="G203" t="s">
        <v>69</v>
      </c>
      <c r="H203" t="s">
        <v>279</v>
      </c>
      <c r="I203" t="s">
        <v>461</v>
      </c>
      <c r="J203" t="s">
        <v>462</v>
      </c>
      <c r="K203" t="s">
        <v>290</v>
      </c>
      <c r="L203">
        <v>1.5</v>
      </c>
      <c r="M203">
        <v>8</v>
      </c>
      <c r="N203" t="s">
        <v>135</v>
      </c>
      <c r="O203" t="s">
        <v>463</v>
      </c>
      <c r="P203" t="s">
        <v>454</v>
      </c>
      <c r="Q203" t="s">
        <v>295</v>
      </c>
      <c r="R203" t="s">
        <v>83</v>
      </c>
      <c r="S203" t="s">
        <v>83</v>
      </c>
      <c r="T203" t="s">
        <v>83</v>
      </c>
      <c r="U203" t="s">
        <v>286</v>
      </c>
      <c r="V203" t="s">
        <v>83</v>
      </c>
      <c r="W203" t="s">
        <v>83</v>
      </c>
      <c r="X203" t="s">
        <v>470</v>
      </c>
      <c r="Y203">
        <v>4</v>
      </c>
      <c r="Z203">
        <v>8.5</v>
      </c>
      <c r="AA203" t="s">
        <v>336</v>
      </c>
      <c r="AB203" t="s">
        <v>78</v>
      </c>
      <c r="AC203">
        <v>0</v>
      </c>
      <c r="AD203">
        <v>2</v>
      </c>
      <c r="AE203">
        <v>1</v>
      </c>
      <c r="AF203">
        <v>2</v>
      </c>
      <c r="AG203">
        <v>1</v>
      </c>
      <c r="AH203">
        <v>1</v>
      </c>
      <c r="AI203" t="s">
        <v>83</v>
      </c>
      <c r="AJ203" t="s">
        <v>83</v>
      </c>
      <c r="AK203">
        <v>55</v>
      </c>
      <c r="AL203">
        <v>130</v>
      </c>
      <c r="AM203" t="s">
        <v>85</v>
      </c>
      <c r="AN203" t="s">
        <v>83</v>
      </c>
      <c r="AO203" t="s">
        <v>274</v>
      </c>
      <c r="AP203" t="s">
        <v>83</v>
      </c>
      <c r="AQ203">
        <v>9</v>
      </c>
      <c r="AR203">
        <v>9</v>
      </c>
      <c r="AS203">
        <v>9</v>
      </c>
      <c r="AT203" t="s">
        <v>336</v>
      </c>
      <c r="AU203">
        <v>68</v>
      </c>
      <c r="AV203" t="s">
        <v>274</v>
      </c>
      <c r="AW203" t="s">
        <v>83</v>
      </c>
      <c r="AX203">
        <v>1</v>
      </c>
      <c r="AY203" t="s">
        <v>83</v>
      </c>
      <c r="AZ203" t="s">
        <v>83</v>
      </c>
      <c r="BA203">
        <v>1</v>
      </c>
      <c r="BB203">
        <v>1</v>
      </c>
      <c r="BC203" t="s">
        <v>83</v>
      </c>
      <c r="BD203">
        <v>1</v>
      </c>
      <c r="BE203">
        <v>9</v>
      </c>
      <c r="BF203">
        <v>76</v>
      </c>
      <c r="BG203" t="s">
        <v>306</v>
      </c>
      <c r="BH203" t="s">
        <v>281</v>
      </c>
      <c r="BI203">
        <v>1</v>
      </c>
      <c r="BJ203">
        <v>1.4</v>
      </c>
      <c r="BK203">
        <v>9.6999999999999993</v>
      </c>
      <c r="BL203">
        <v>1</v>
      </c>
    </row>
    <row r="204" spans="1:64" x14ac:dyDescent="0.25">
      <c r="A204" t="s">
        <v>491</v>
      </c>
      <c r="B204">
        <v>54</v>
      </c>
      <c r="C204" t="s">
        <v>453</v>
      </c>
      <c r="D204" t="s">
        <v>66</v>
      </c>
      <c r="E204" t="s">
        <v>107</v>
      </c>
      <c r="F204" t="s">
        <v>190</v>
      </c>
      <c r="G204" t="s">
        <v>191</v>
      </c>
      <c r="H204" t="s">
        <v>279</v>
      </c>
      <c r="I204" t="s">
        <v>166</v>
      </c>
      <c r="J204" t="s">
        <v>72</v>
      </c>
      <c r="K204" t="s">
        <v>290</v>
      </c>
      <c r="L204">
        <v>1.5</v>
      </c>
      <c r="M204">
        <v>12</v>
      </c>
      <c r="N204" t="s">
        <v>135</v>
      </c>
      <c r="O204" t="s">
        <v>74</v>
      </c>
      <c r="P204" t="s">
        <v>273</v>
      </c>
      <c r="Q204" t="s">
        <v>295</v>
      </c>
      <c r="R204" t="s">
        <v>274</v>
      </c>
      <c r="S204" t="s">
        <v>274</v>
      </c>
      <c r="T204" t="s">
        <v>83</v>
      </c>
      <c r="U204" t="s">
        <v>286</v>
      </c>
      <c r="V204" t="s">
        <v>83</v>
      </c>
      <c r="W204" t="s">
        <v>274</v>
      </c>
      <c r="X204" t="s">
        <v>308</v>
      </c>
      <c r="Y204">
        <v>5</v>
      </c>
      <c r="Z204">
        <v>8.5</v>
      </c>
      <c r="AA204" t="s">
        <v>266</v>
      </c>
      <c r="AB204" t="s">
        <v>78</v>
      </c>
      <c r="AC204">
        <v>8.5</v>
      </c>
      <c r="AD204">
        <v>2</v>
      </c>
      <c r="AE204">
        <v>1</v>
      </c>
      <c r="AF204">
        <v>2</v>
      </c>
      <c r="AG204">
        <v>2</v>
      </c>
      <c r="AH204">
        <v>1</v>
      </c>
      <c r="AI204" t="s">
        <v>274</v>
      </c>
      <c r="AJ204" t="s">
        <v>83</v>
      </c>
      <c r="AK204">
        <v>52</v>
      </c>
      <c r="AL204">
        <v>125</v>
      </c>
      <c r="AM204" t="s">
        <v>85</v>
      </c>
      <c r="AN204" t="s">
        <v>274</v>
      </c>
      <c r="AO204" t="s">
        <v>274</v>
      </c>
      <c r="AP204" t="s">
        <v>83</v>
      </c>
      <c r="AQ204">
        <v>9</v>
      </c>
      <c r="AR204">
        <v>8</v>
      </c>
      <c r="AS204">
        <v>9</v>
      </c>
      <c r="AT204" t="s">
        <v>336</v>
      </c>
      <c r="AU204">
        <v>60</v>
      </c>
      <c r="AV204" t="s">
        <v>274</v>
      </c>
      <c r="AW204" t="s">
        <v>274</v>
      </c>
      <c r="AX204">
        <v>1</v>
      </c>
      <c r="AY204" t="s">
        <v>83</v>
      </c>
      <c r="AZ204" t="s">
        <v>83</v>
      </c>
      <c r="BA204">
        <v>1</v>
      </c>
      <c r="BB204">
        <v>1</v>
      </c>
      <c r="BC204" t="s">
        <v>83</v>
      </c>
      <c r="BD204">
        <v>1</v>
      </c>
      <c r="BE204">
        <v>9</v>
      </c>
      <c r="BF204">
        <v>60</v>
      </c>
      <c r="BG204" t="s">
        <v>306</v>
      </c>
      <c r="BH204" t="s">
        <v>281</v>
      </c>
      <c r="BI204">
        <v>1.2</v>
      </c>
      <c r="BJ204">
        <v>1.8</v>
      </c>
      <c r="BK204">
        <v>9.5</v>
      </c>
      <c r="BL204">
        <v>1.5</v>
      </c>
    </row>
    <row r="205" spans="1:64" x14ac:dyDescent="0.25">
      <c r="A205" t="s">
        <v>492</v>
      </c>
      <c r="B205">
        <v>71</v>
      </c>
      <c r="C205" t="s">
        <v>460</v>
      </c>
      <c r="D205" t="s">
        <v>66</v>
      </c>
      <c r="E205" t="s">
        <v>97</v>
      </c>
      <c r="F205" t="s">
        <v>98</v>
      </c>
      <c r="G205" t="s">
        <v>99</v>
      </c>
      <c r="H205" t="s">
        <v>124</v>
      </c>
      <c r="I205" t="s">
        <v>461</v>
      </c>
      <c r="J205" t="s">
        <v>462</v>
      </c>
      <c r="K205" t="s">
        <v>290</v>
      </c>
      <c r="L205">
        <v>1</v>
      </c>
      <c r="M205">
        <v>6</v>
      </c>
      <c r="N205" t="s">
        <v>135</v>
      </c>
      <c r="O205" t="s">
        <v>463</v>
      </c>
      <c r="P205" t="s">
        <v>454</v>
      </c>
      <c r="Q205" t="s">
        <v>473</v>
      </c>
      <c r="R205" t="s">
        <v>83</v>
      </c>
      <c r="S205" t="s">
        <v>83</v>
      </c>
      <c r="T205" t="s">
        <v>83</v>
      </c>
      <c r="U205" t="s">
        <v>286</v>
      </c>
      <c r="V205" t="s">
        <v>83</v>
      </c>
      <c r="W205" t="s">
        <v>83</v>
      </c>
      <c r="X205" t="s">
        <v>470</v>
      </c>
      <c r="Y205">
        <v>4</v>
      </c>
      <c r="Z205">
        <v>9</v>
      </c>
      <c r="AA205" t="s">
        <v>336</v>
      </c>
      <c r="AB205" t="s">
        <v>78</v>
      </c>
      <c r="AC205">
        <v>0</v>
      </c>
      <c r="AD205">
        <v>1</v>
      </c>
      <c r="AE205">
        <v>1</v>
      </c>
      <c r="AF205">
        <v>1</v>
      </c>
      <c r="AG205">
        <v>1</v>
      </c>
      <c r="AH205">
        <v>1</v>
      </c>
      <c r="AI205" t="s">
        <v>83</v>
      </c>
      <c r="AJ205" t="s">
        <v>83</v>
      </c>
      <c r="AK205">
        <v>60</v>
      </c>
      <c r="AL205">
        <v>140</v>
      </c>
      <c r="AM205" t="s">
        <v>85</v>
      </c>
      <c r="AN205" t="s">
        <v>83</v>
      </c>
      <c r="AO205" t="s">
        <v>83</v>
      </c>
      <c r="AP205" t="s">
        <v>83</v>
      </c>
      <c r="AQ205">
        <v>10</v>
      </c>
      <c r="AR205">
        <v>10</v>
      </c>
      <c r="AS205">
        <v>10</v>
      </c>
      <c r="AT205" t="s">
        <v>475</v>
      </c>
      <c r="AU205">
        <v>72</v>
      </c>
      <c r="AV205" t="s">
        <v>83</v>
      </c>
      <c r="AW205" t="s">
        <v>83</v>
      </c>
      <c r="AX205">
        <v>1</v>
      </c>
      <c r="AY205" t="s">
        <v>83</v>
      </c>
      <c r="AZ205" t="s">
        <v>83</v>
      </c>
      <c r="BA205">
        <v>1</v>
      </c>
      <c r="BB205">
        <v>1</v>
      </c>
      <c r="BC205" t="s">
        <v>83</v>
      </c>
      <c r="BD205">
        <v>0</v>
      </c>
      <c r="BE205">
        <v>10</v>
      </c>
      <c r="BF205">
        <v>82</v>
      </c>
      <c r="BG205" t="s">
        <v>306</v>
      </c>
      <c r="BH205" t="s">
        <v>281</v>
      </c>
      <c r="BI205">
        <v>0.8</v>
      </c>
      <c r="BJ205">
        <v>1.2</v>
      </c>
      <c r="BK205">
        <v>9.8000000000000007</v>
      </c>
      <c r="BL205">
        <v>0.8</v>
      </c>
    </row>
    <row r="206" spans="1:64" x14ac:dyDescent="0.25">
      <c r="A206" t="s">
        <v>493</v>
      </c>
      <c r="B206">
        <v>52</v>
      </c>
      <c r="C206" t="s">
        <v>453</v>
      </c>
      <c r="D206" t="s">
        <v>89</v>
      </c>
      <c r="E206" t="s">
        <v>114</v>
      </c>
      <c r="F206" t="s">
        <v>184</v>
      </c>
      <c r="G206" t="s">
        <v>185</v>
      </c>
      <c r="H206" t="s">
        <v>124</v>
      </c>
      <c r="I206" t="s">
        <v>166</v>
      </c>
      <c r="J206" t="s">
        <v>242</v>
      </c>
      <c r="K206" t="s">
        <v>290</v>
      </c>
      <c r="L206">
        <v>2</v>
      </c>
      <c r="M206">
        <v>10</v>
      </c>
      <c r="N206" t="s">
        <v>272</v>
      </c>
      <c r="O206" t="s">
        <v>135</v>
      </c>
      <c r="P206" t="s">
        <v>273</v>
      </c>
      <c r="Q206" t="s">
        <v>295</v>
      </c>
      <c r="R206" t="s">
        <v>274</v>
      </c>
      <c r="S206" t="s">
        <v>274</v>
      </c>
      <c r="T206" t="s">
        <v>274</v>
      </c>
      <c r="U206" t="s">
        <v>286</v>
      </c>
      <c r="V206" t="s">
        <v>274</v>
      </c>
      <c r="W206" t="s">
        <v>274</v>
      </c>
      <c r="X206" t="s">
        <v>318</v>
      </c>
      <c r="Y206">
        <v>5.5</v>
      </c>
      <c r="Z206">
        <v>8</v>
      </c>
      <c r="AA206" t="s">
        <v>266</v>
      </c>
      <c r="AB206" t="s">
        <v>275</v>
      </c>
      <c r="AC206">
        <v>9</v>
      </c>
      <c r="AD206">
        <v>2</v>
      </c>
      <c r="AE206">
        <v>1</v>
      </c>
      <c r="AF206">
        <v>2</v>
      </c>
      <c r="AG206">
        <v>2</v>
      </c>
      <c r="AH206">
        <v>1</v>
      </c>
      <c r="AI206" t="s">
        <v>274</v>
      </c>
      <c r="AJ206" t="s">
        <v>274</v>
      </c>
      <c r="AK206">
        <v>48</v>
      </c>
      <c r="AL206">
        <v>115</v>
      </c>
      <c r="AM206" t="s">
        <v>85</v>
      </c>
      <c r="AN206" t="s">
        <v>274</v>
      </c>
      <c r="AO206" t="s">
        <v>274</v>
      </c>
      <c r="AP206" t="s">
        <v>274</v>
      </c>
      <c r="AQ206">
        <v>9</v>
      </c>
      <c r="AR206">
        <v>8</v>
      </c>
      <c r="AS206">
        <v>9</v>
      </c>
      <c r="AT206" t="s">
        <v>266</v>
      </c>
      <c r="AU206">
        <v>56</v>
      </c>
      <c r="AV206" t="s">
        <v>274</v>
      </c>
      <c r="AW206" t="s">
        <v>274</v>
      </c>
      <c r="AX206">
        <v>1</v>
      </c>
      <c r="AY206" t="s">
        <v>83</v>
      </c>
      <c r="AZ206" t="s">
        <v>274</v>
      </c>
      <c r="BA206">
        <v>1</v>
      </c>
      <c r="BB206">
        <v>1</v>
      </c>
      <c r="BC206" t="s">
        <v>83</v>
      </c>
      <c r="BD206">
        <v>1</v>
      </c>
      <c r="BE206">
        <v>8</v>
      </c>
      <c r="BF206">
        <v>52</v>
      </c>
      <c r="BG206" t="s">
        <v>306</v>
      </c>
      <c r="BH206" t="s">
        <v>281</v>
      </c>
      <c r="BI206">
        <v>1.5</v>
      </c>
      <c r="BJ206">
        <v>2</v>
      </c>
      <c r="BK206">
        <v>9.1999999999999993</v>
      </c>
      <c r="BL206">
        <v>1.8</v>
      </c>
    </row>
    <row r="207" spans="1:64" x14ac:dyDescent="0.25">
      <c r="A207" t="s">
        <v>494</v>
      </c>
      <c r="B207">
        <v>60</v>
      </c>
      <c r="C207" t="s">
        <v>453</v>
      </c>
      <c r="D207" t="s">
        <v>66</v>
      </c>
      <c r="E207" t="s">
        <v>90</v>
      </c>
      <c r="F207" t="s">
        <v>128</v>
      </c>
      <c r="G207" t="s">
        <v>129</v>
      </c>
      <c r="H207" t="s">
        <v>279</v>
      </c>
      <c r="I207" t="s">
        <v>166</v>
      </c>
      <c r="J207" t="s">
        <v>285</v>
      </c>
      <c r="K207" t="s">
        <v>290</v>
      </c>
      <c r="L207">
        <v>1.5</v>
      </c>
      <c r="M207">
        <v>12</v>
      </c>
      <c r="N207" t="s">
        <v>74</v>
      </c>
      <c r="O207" t="s">
        <v>135</v>
      </c>
      <c r="P207" t="s">
        <v>454</v>
      </c>
      <c r="Q207" t="s">
        <v>295</v>
      </c>
      <c r="R207" t="s">
        <v>274</v>
      </c>
      <c r="S207" t="s">
        <v>274</v>
      </c>
      <c r="T207" t="s">
        <v>83</v>
      </c>
      <c r="U207" t="s">
        <v>286</v>
      </c>
      <c r="V207" t="s">
        <v>83</v>
      </c>
      <c r="W207" t="s">
        <v>274</v>
      </c>
      <c r="X207" t="s">
        <v>457</v>
      </c>
      <c r="Y207">
        <v>5</v>
      </c>
      <c r="Z207">
        <v>8.5</v>
      </c>
      <c r="AA207" t="s">
        <v>266</v>
      </c>
      <c r="AB207" t="s">
        <v>78</v>
      </c>
      <c r="AC207">
        <v>9</v>
      </c>
      <c r="AD207">
        <v>2</v>
      </c>
      <c r="AE207">
        <v>1</v>
      </c>
      <c r="AF207">
        <v>2</v>
      </c>
      <c r="AG207">
        <v>1</v>
      </c>
      <c r="AH207">
        <v>1</v>
      </c>
      <c r="AI207" t="s">
        <v>274</v>
      </c>
      <c r="AJ207" t="s">
        <v>83</v>
      </c>
      <c r="AK207">
        <v>52</v>
      </c>
      <c r="AL207">
        <v>125</v>
      </c>
      <c r="AM207" t="s">
        <v>85</v>
      </c>
      <c r="AN207" t="s">
        <v>274</v>
      </c>
      <c r="AO207" t="s">
        <v>274</v>
      </c>
      <c r="AP207" t="s">
        <v>83</v>
      </c>
      <c r="AQ207">
        <v>9</v>
      </c>
      <c r="AR207">
        <v>8</v>
      </c>
      <c r="AS207">
        <v>9</v>
      </c>
      <c r="AT207" t="s">
        <v>336</v>
      </c>
      <c r="AU207">
        <v>62</v>
      </c>
      <c r="AV207" t="s">
        <v>274</v>
      </c>
      <c r="AW207" t="s">
        <v>274</v>
      </c>
      <c r="AX207">
        <v>1</v>
      </c>
      <c r="AY207" t="s">
        <v>83</v>
      </c>
      <c r="AZ207" t="s">
        <v>83</v>
      </c>
      <c r="BA207">
        <v>1</v>
      </c>
      <c r="BB207">
        <v>1</v>
      </c>
      <c r="BC207" t="s">
        <v>83</v>
      </c>
      <c r="BD207">
        <v>1</v>
      </c>
      <c r="BE207">
        <v>9</v>
      </c>
      <c r="BF207">
        <v>62</v>
      </c>
      <c r="BG207" t="s">
        <v>306</v>
      </c>
      <c r="BH207" t="s">
        <v>281</v>
      </c>
      <c r="BI207">
        <v>1</v>
      </c>
      <c r="BJ207">
        <v>1.5</v>
      </c>
      <c r="BK207">
        <v>9.6</v>
      </c>
      <c r="BL207">
        <v>1.2</v>
      </c>
    </row>
    <row r="208" spans="1:64" x14ac:dyDescent="0.25">
      <c r="A208" t="s">
        <v>495</v>
      </c>
      <c r="B208">
        <v>65</v>
      </c>
      <c r="C208" t="s">
        <v>460</v>
      </c>
      <c r="D208" t="s">
        <v>89</v>
      </c>
      <c r="E208" t="s">
        <v>107</v>
      </c>
      <c r="F208" t="s">
        <v>160</v>
      </c>
      <c r="G208" t="s">
        <v>161</v>
      </c>
      <c r="H208" t="s">
        <v>279</v>
      </c>
      <c r="I208" t="s">
        <v>461</v>
      </c>
      <c r="J208" t="s">
        <v>462</v>
      </c>
      <c r="K208" t="s">
        <v>290</v>
      </c>
      <c r="L208">
        <v>1</v>
      </c>
      <c r="M208">
        <v>8</v>
      </c>
      <c r="N208" t="s">
        <v>75</v>
      </c>
      <c r="O208" t="s">
        <v>135</v>
      </c>
      <c r="P208" t="s">
        <v>454</v>
      </c>
      <c r="Q208" t="s">
        <v>473</v>
      </c>
      <c r="R208" t="s">
        <v>83</v>
      </c>
      <c r="S208" t="s">
        <v>83</v>
      </c>
      <c r="T208" t="s">
        <v>83</v>
      </c>
      <c r="U208" t="s">
        <v>286</v>
      </c>
      <c r="V208" t="s">
        <v>83</v>
      </c>
      <c r="W208" t="s">
        <v>83</v>
      </c>
      <c r="X208" t="s">
        <v>496</v>
      </c>
      <c r="Y208">
        <v>4</v>
      </c>
      <c r="Z208">
        <v>9</v>
      </c>
      <c r="AA208" t="s">
        <v>336</v>
      </c>
      <c r="AB208" t="s">
        <v>78</v>
      </c>
      <c r="AC208">
        <v>0</v>
      </c>
      <c r="AD208">
        <v>1</v>
      </c>
      <c r="AE208">
        <v>1</v>
      </c>
      <c r="AF208">
        <v>1</v>
      </c>
      <c r="AG208">
        <v>1</v>
      </c>
      <c r="AH208">
        <v>1</v>
      </c>
      <c r="AI208" t="s">
        <v>83</v>
      </c>
      <c r="AJ208" t="s">
        <v>83</v>
      </c>
      <c r="AK208">
        <v>60</v>
      </c>
      <c r="AL208">
        <v>140</v>
      </c>
      <c r="AM208" t="s">
        <v>85</v>
      </c>
      <c r="AN208" t="s">
        <v>83</v>
      </c>
      <c r="AO208" t="s">
        <v>83</v>
      </c>
      <c r="AP208" t="s">
        <v>83</v>
      </c>
      <c r="AQ208">
        <v>10</v>
      </c>
      <c r="AR208">
        <v>10</v>
      </c>
      <c r="AS208">
        <v>10</v>
      </c>
      <c r="AT208" t="s">
        <v>475</v>
      </c>
      <c r="AU208">
        <v>72</v>
      </c>
      <c r="AV208" t="s">
        <v>83</v>
      </c>
      <c r="AW208" t="s">
        <v>83</v>
      </c>
      <c r="AX208">
        <v>1</v>
      </c>
      <c r="AY208" t="s">
        <v>83</v>
      </c>
      <c r="AZ208" t="s">
        <v>83</v>
      </c>
      <c r="BA208">
        <v>1</v>
      </c>
      <c r="BB208">
        <v>1</v>
      </c>
      <c r="BC208" t="s">
        <v>83</v>
      </c>
      <c r="BD208">
        <v>0</v>
      </c>
      <c r="BE208">
        <v>10</v>
      </c>
      <c r="BF208">
        <v>82</v>
      </c>
      <c r="BG208" t="s">
        <v>306</v>
      </c>
      <c r="BH208" t="s">
        <v>281</v>
      </c>
      <c r="BI208">
        <v>0.8</v>
      </c>
      <c r="BJ208">
        <v>1.2</v>
      </c>
      <c r="BK208">
        <v>9.8000000000000007</v>
      </c>
      <c r="BL208">
        <v>0.8</v>
      </c>
    </row>
    <row r="209" spans="1:64" x14ac:dyDescent="0.25">
      <c r="A209" t="s">
        <v>497</v>
      </c>
      <c r="B209">
        <v>57</v>
      </c>
      <c r="C209" t="s">
        <v>453</v>
      </c>
      <c r="D209" t="s">
        <v>66</v>
      </c>
      <c r="E209" t="s">
        <v>67</v>
      </c>
      <c r="F209" t="s">
        <v>187</v>
      </c>
      <c r="G209" t="s">
        <v>188</v>
      </c>
      <c r="H209" t="s">
        <v>124</v>
      </c>
      <c r="I209" t="s">
        <v>166</v>
      </c>
      <c r="J209" t="s">
        <v>72</v>
      </c>
      <c r="K209" t="s">
        <v>290</v>
      </c>
      <c r="L209">
        <v>2</v>
      </c>
      <c r="M209">
        <v>9</v>
      </c>
      <c r="N209" t="s">
        <v>135</v>
      </c>
      <c r="O209" t="s">
        <v>75</v>
      </c>
      <c r="P209" t="s">
        <v>273</v>
      </c>
      <c r="Q209" t="s">
        <v>295</v>
      </c>
      <c r="R209" t="s">
        <v>274</v>
      </c>
      <c r="S209" t="s">
        <v>274</v>
      </c>
      <c r="T209" t="s">
        <v>274</v>
      </c>
      <c r="U209" t="s">
        <v>286</v>
      </c>
      <c r="V209" t="s">
        <v>274</v>
      </c>
      <c r="W209" t="s">
        <v>274</v>
      </c>
      <c r="X209" t="s">
        <v>498</v>
      </c>
      <c r="Y209">
        <v>5.5</v>
      </c>
      <c r="Z209">
        <v>8</v>
      </c>
      <c r="AA209" t="s">
        <v>266</v>
      </c>
      <c r="AB209" t="s">
        <v>275</v>
      </c>
      <c r="AC209">
        <v>8.5</v>
      </c>
      <c r="AD209">
        <v>2</v>
      </c>
      <c r="AE209">
        <v>1</v>
      </c>
      <c r="AF209">
        <v>2</v>
      </c>
      <c r="AG209">
        <v>2</v>
      </c>
      <c r="AH209">
        <v>1</v>
      </c>
      <c r="AI209" t="s">
        <v>274</v>
      </c>
      <c r="AJ209" t="s">
        <v>274</v>
      </c>
      <c r="AK209">
        <v>48</v>
      </c>
      <c r="AL209">
        <v>115</v>
      </c>
      <c r="AM209" t="s">
        <v>85</v>
      </c>
      <c r="AN209" t="s">
        <v>274</v>
      </c>
      <c r="AO209" t="s">
        <v>274</v>
      </c>
      <c r="AP209" t="s">
        <v>274</v>
      </c>
      <c r="AQ209">
        <v>9</v>
      </c>
      <c r="AR209">
        <v>8</v>
      </c>
      <c r="AS209">
        <v>9</v>
      </c>
      <c r="AT209" t="s">
        <v>266</v>
      </c>
      <c r="AU209">
        <v>55</v>
      </c>
      <c r="AV209" t="s">
        <v>274</v>
      </c>
      <c r="AW209" t="s">
        <v>274</v>
      </c>
      <c r="AX209">
        <v>1</v>
      </c>
      <c r="AY209" t="s">
        <v>83</v>
      </c>
      <c r="AZ209" t="s">
        <v>274</v>
      </c>
      <c r="BA209">
        <v>1</v>
      </c>
      <c r="BB209">
        <v>1</v>
      </c>
      <c r="BC209" t="s">
        <v>83</v>
      </c>
      <c r="BD209">
        <v>1</v>
      </c>
      <c r="BE209">
        <v>8</v>
      </c>
      <c r="BF209">
        <v>52</v>
      </c>
      <c r="BG209" t="s">
        <v>306</v>
      </c>
      <c r="BH209" t="s">
        <v>281</v>
      </c>
      <c r="BI209">
        <v>1.5</v>
      </c>
      <c r="BJ209">
        <v>2</v>
      </c>
      <c r="BK209">
        <v>9.1999999999999993</v>
      </c>
      <c r="BL209">
        <v>1.8</v>
      </c>
    </row>
    <row r="210" spans="1:64" x14ac:dyDescent="0.25">
      <c r="A210" t="s">
        <v>499</v>
      </c>
      <c r="B210">
        <v>69</v>
      </c>
      <c r="C210" t="s">
        <v>460</v>
      </c>
      <c r="D210" t="s">
        <v>89</v>
      </c>
      <c r="E210" t="s">
        <v>97</v>
      </c>
      <c r="F210" t="s">
        <v>201</v>
      </c>
      <c r="G210" t="s">
        <v>202</v>
      </c>
      <c r="H210" t="s">
        <v>124</v>
      </c>
      <c r="I210" t="s">
        <v>461</v>
      </c>
      <c r="J210" t="s">
        <v>462</v>
      </c>
      <c r="K210" t="s">
        <v>290</v>
      </c>
      <c r="L210">
        <v>1</v>
      </c>
      <c r="M210">
        <v>5</v>
      </c>
      <c r="N210" t="s">
        <v>135</v>
      </c>
      <c r="O210" t="s">
        <v>463</v>
      </c>
      <c r="P210" t="s">
        <v>454</v>
      </c>
      <c r="Q210" t="s">
        <v>473</v>
      </c>
      <c r="R210" t="s">
        <v>83</v>
      </c>
      <c r="S210" t="s">
        <v>83</v>
      </c>
      <c r="T210" t="s">
        <v>83</v>
      </c>
      <c r="U210" t="s">
        <v>286</v>
      </c>
      <c r="V210" t="s">
        <v>83</v>
      </c>
      <c r="W210" t="s">
        <v>83</v>
      </c>
      <c r="X210" t="s">
        <v>470</v>
      </c>
      <c r="Y210">
        <v>4</v>
      </c>
      <c r="Z210">
        <v>9</v>
      </c>
      <c r="AA210" t="s">
        <v>336</v>
      </c>
      <c r="AB210" t="s">
        <v>78</v>
      </c>
      <c r="AC210">
        <v>0</v>
      </c>
      <c r="AD210">
        <v>1</v>
      </c>
      <c r="AE210">
        <v>1</v>
      </c>
      <c r="AF210">
        <v>1</v>
      </c>
      <c r="AG210">
        <v>1</v>
      </c>
      <c r="AH210">
        <v>1</v>
      </c>
      <c r="AI210" t="s">
        <v>83</v>
      </c>
      <c r="AJ210" t="s">
        <v>83</v>
      </c>
      <c r="AK210">
        <v>60</v>
      </c>
      <c r="AL210">
        <v>140</v>
      </c>
      <c r="AM210" t="s">
        <v>85</v>
      </c>
      <c r="AN210" t="s">
        <v>83</v>
      </c>
      <c r="AO210" t="s">
        <v>83</v>
      </c>
      <c r="AP210" t="s">
        <v>83</v>
      </c>
      <c r="AQ210">
        <v>10</v>
      </c>
      <c r="AR210">
        <v>9</v>
      </c>
      <c r="AS210">
        <v>10</v>
      </c>
      <c r="AT210" t="s">
        <v>475</v>
      </c>
      <c r="AU210">
        <v>70</v>
      </c>
      <c r="AV210" t="s">
        <v>83</v>
      </c>
      <c r="AW210" t="s">
        <v>83</v>
      </c>
      <c r="AX210">
        <v>1</v>
      </c>
      <c r="AY210" t="s">
        <v>83</v>
      </c>
      <c r="AZ210" t="s">
        <v>83</v>
      </c>
      <c r="BA210">
        <v>1</v>
      </c>
      <c r="BB210">
        <v>1</v>
      </c>
      <c r="BC210" t="s">
        <v>83</v>
      </c>
      <c r="BD210">
        <v>0</v>
      </c>
      <c r="BE210">
        <v>10</v>
      </c>
      <c r="BF210">
        <v>80</v>
      </c>
      <c r="BG210" t="s">
        <v>306</v>
      </c>
      <c r="BH210" t="s">
        <v>281</v>
      </c>
      <c r="BI210">
        <v>0.8</v>
      </c>
      <c r="BJ210">
        <v>1.2</v>
      </c>
      <c r="BK210">
        <v>9.8000000000000007</v>
      </c>
      <c r="BL210">
        <v>0.8</v>
      </c>
    </row>
    <row r="211" spans="1:64" x14ac:dyDescent="0.25">
      <c r="A211" t="s">
        <v>500</v>
      </c>
      <c r="B211">
        <v>53</v>
      </c>
      <c r="C211" t="s">
        <v>453</v>
      </c>
      <c r="D211" t="s">
        <v>66</v>
      </c>
      <c r="E211" t="s">
        <v>114</v>
      </c>
      <c r="F211" t="s">
        <v>115</v>
      </c>
      <c r="G211" t="s">
        <v>116</v>
      </c>
      <c r="H211" t="s">
        <v>124</v>
      </c>
      <c r="I211" t="s">
        <v>166</v>
      </c>
      <c r="J211" t="s">
        <v>315</v>
      </c>
      <c r="K211" t="s">
        <v>290</v>
      </c>
      <c r="L211">
        <v>2</v>
      </c>
      <c r="M211">
        <v>10</v>
      </c>
      <c r="N211" t="s">
        <v>135</v>
      </c>
      <c r="O211" t="s">
        <v>75</v>
      </c>
      <c r="P211" t="s">
        <v>273</v>
      </c>
      <c r="Q211" t="s">
        <v>295</v>
      </c>
      <c r="R211" t="s">
        <v>274</v>
      </c>
      <c r="S211" t="s">
        <v>274</v>
      </c>
      <c r="T211" t="s">
        <v>274</v>
      </c>
      <c r="U211" t="s">
        <v>286</v>
      </c>
      <c r="V211" t="s">
        <v>274</v>
      </c>
      <c r="W211" t="s">
        <v>274</v>
      </c>
      <c r="X211" t="s">
        <v>474</v>
      </c>
      <c r="Y211">
        <v>5.5</v>
      </c>
      <c r="Z211">
        <v>8</v>
      </c>
      <c r="AA211" t="s">
        <v>266</v>
      </c>
      <c r="AB211" t="s">
        <v>275</v>
      </c>
      <c r="AC211">
        <v>8.5</v>
      </c>
      <c r="AD211">
        <v>2</v>
      </c>
      <c r="AE211">
        <v>1</v>
      </c>
      <c r="AF211">
        <v>2</v>
      </c>
      <c r="AG211">
        <v>2</v>
      </c>
      <c r="AH211">
        <v>1</v>
      </c>
      <c r="AI211" t="s">
        <v>274</v>
      </c>
      <c r="AJ211" t="s">
        <v>274</v>
      </c>
      <c r="AK211">
        <v>48</v>
      </c>
      <c r="AL211">
        <v>115</v>
      </c>
      <c r="AM211" t="s">
        <v>85</v>
      </c>
      <c r="AN211" t="s">
        <v>274</v>
      </c>
      <c r="AO211" t="s">
        <v>274</v>
      </c>
      <c r="AP211" t="s">
        <v>274</v>
      </c>
      <c r="AQ211">
        <v>9</v>
      </c>
      <c r="AR211">
        <v>8</v>
      </c>
      <c r="AS211">
        <v>9</v>
      </c>
      <c r="AT211" t="s">
        <v>266</v>
      </c>
      <c r="AU211">
        <v>55</v>
      </c>
      <c r="AV211" t="s">
        <v>274</v>
      </c>
      <c r="AW211" t="s">
        <v>274</v>
      </c>
      <c r="AX211">
        <v>1</v>
      </c>
      <c r="AY211" t="s">
        <v>83</v>
      </c>
      <c r="AZ211" t="s">
        <v>274</v>
      </c>
      <c r="BA211">
        <v>1</v>
      </c>
      <c r="BB211">
        <v>1</v>
      </c>
      <c r="BC211" t="s">
        <v>83</v>
      </c>
      <c r="BD211">
        <v>1</v>
      </c>
      <c r="BE211">
        <v>8</v>
      </c>
      <c r="BF211">
        <v>52</v>
      </c>
      <c r="BG211" t="s">
        <v>306</v>
      </c>
      <c r="BH211" t="s">
        <v>281</v>
      </c>
      <c r="BI211">
        <v>1.5</v>
      </c>
      <c r="BJ211">
        <v>2</v>
      </c>
      <c r="BK211">
        <v>9.1999999999999993</v>
      </c>
      <c r="BL211">
        <v>1.8</v>
      </c>
    </row>
    <row r="212" spans="1:64" x14ac:dyDescent="0.25">
      <c r="A212" t="s">
        <v>501</v>
      </c>
      <c r="B212">
        <v>58</v>
      </c>
      <c r="C212" t="s">
        <v>453</v>
      </c>
      <c r="D212" t="s">
        <v>89</v>
      </c>
      <c r="E212" t="s">
        <v>90</v>
      </c>
      <c r="F212" t="s">
        <v>91</v>
      </c>
      <c r="G212" t="s">
        <v>92</v>
      </c>
      <c r="H212" t="s">
        <v>279</v>
      </c>
      <c r="I212" t="s">
        <v>166</v>
      </c>
      <c r="J212" t="s">
        <v>167</v>
      </c>
      <c r="K212" t="s">
        <v>290</v>
      </c>
      <c r="L212">
        <v>1.5</v>
      </c>
      <c r="M212">
        <v>14</v>
      </c>
      <c r="N212" t="s">
        <v>168</v>
      </c>
      <c r="O212" t="s">
        <v>272</v>
      </c>
      <c r="P212" t="s">
        <v>454</v>
      </c>
      <c r="Q212" t="s">
        <v>295</v>
      </c>
      <c r="R212" t="s">
        <v>274</v>
      </c>
      <c r="S212" t="s">
        <v>274</v>
      </c>
      <c r="T212" t="s">
        <v>83</v>
      </c>
      <c r="U212" t="s">
        <v>286</v>
      </c>
      <c r="V212" t="s">
        <v>83</v>
      </c>
      <c r="W212" t="s">
        <v>274</v>
      </c>
      <c r="X212" t="s">
        <v>313</v>
      </c>
      <c r="Y212">
        <v>5</v>
      </c>
      <c r="Z212">
        <v>8.5</v>
      </c>
      <c r="AA212" t="s">
        <v>266</v>
      </c>
      <c r="AB212" t="s">
        <v>78</v>
      </c>
      <c r="AC212">
        <v>9.5</v>
      </c>
      <c r="AD212">
        <v>2</v>
      </c>
      <c r="AE212">
        <v>1</v>
      </c>
      <c r="AF212">
        <v>2</v>
      </c>
      <c r="AG212">
        <v>1</v>
      </c>
      <c r="AH212">
        <v>1</v>
      </c>
      <c r="AI212" t="s">
        <v>274</v>
      </c>
      <c r="AJ212" t="s">
        <v>83</v>
      </c>
      <c r="AK212">
        <v>52</v>
      </c>
      <c r="AL212">
        <v>125</v>
      </c>
      <c r="AM212" t="s">
        <v>85</v>
      </c>
      <c r="AN212" t="s">
        <v>274</v>
      </c>
      <c r="AO212" t="s">
        <v>274</v>
      </c>
      <c r="AP212" t="s">
        <v>83</v>
      </c>
      <c r="AQ212">
        <v>9</v>
      </c>
      <c r="AR212">
        <v>8</v>
      </c>
      <c r="AS212">
        <v>9</v>
      </c>
      <c r="AT212" t="s">
        <v>336</v>
      </c>
      <c r="AU212">
        <v>62</v>
      </c>
      <c r="AV212" t="s">
        <v>274</v>
      </c>
      <c r="AW212" t="s">
        <v>274</v>
      </c>
      <c r="AX212">
        <v>1</v>
      </c>
      <c r="AY212" t="s">
        <v>83</v>
      </c>
      <c r="AZ212" t="s">
        <v>83</v>
      </c>
      <c r="BA212">
        <v>1</v>
      </c>
      <c r="BB212">
        <v>1</v>
      </c>
      <c r="BC212" t="s">
        <v>83</v>
      </c>
      <c r="BD212">
        <v>1</v>
      </c>
      <c r="BE212">
        <v>9</v>
      </c>
      <c r="BF212">
        <v>62</v>
      </c>
      <c r="BG212" t="s">
        <v>306</v>
      </c>
      <c r="BH212" t="s">
        <v>281</v>
      </c>
      <c r="BI212">
        <v>1</v>
      </c>
      <c r="BJ212">
        <v>1.5</v>
      </c>
      <c r="BK212">
        <v>9.6</v>
      </c>
      <c r="BL212">
        <v>1.2</v>
      </c>
    </row>
    <row r="213" spans="1:64" x14ac:dyDescent="0.25">
      <c r="A213" t="s">
        <v>502</v>
      </c>
      <c r="B213">
        <v>73</v>
      </c>
      <c r="C213" t="s">
        <v>460</v>
      </c>
      <c r="D213" t="s">
        <v>66</v>
      </c>
      <c r="E213" t="s">
        <v>107</v>
      </c>
      <c r="F213" t="s">
        <v>122</v>
      </c>
      <c r="G213" t="s">
        <v>123</v>
      </c>
      <c r="H213" t="s">
        <v>124</v>
      </c>
      <c r="I213" t="s">
        <v>461</v>
      </c>
      <c r="J213" t="s">
        <v>462</v>
      </c>
      <c r="K213" t="s">
        <v>290</v>
      </c>
      <c r="L213">
        <v>0.5</v>
      </c>
      <c r="M213">
        <v>5</v>
      </c>
      <c r="N213" t="s">
        <v>135</v>
      </c>
      <c r="O213" t="s">
        <v>456</v>
      </c>
      <c r="P213" t="s">
        <v>486</v>
      </c>
      <c r="Q213" t="s">
        <v>473</v>
      </c>
      <c r="R213" t="s">
        <v>83</v>
      </c>
      <c r="S213" t="s">
        <v>83</v>
      </c>
      <c r="T213" t="s">
        <v>83</v>
      </c>
      <c r="U213" t="s">
        <v>286</v>
      </c>
      <c r="V213" t="s">
        <v>83</v>
      </c>
      <c r="W213" t="s">
        <v>83</v>
      </c>
      <c r="X213" t="s">
        <v>474</v>
      </c>
      <c r="Y213">
        <v>3</v>
      </c>
      <c r="Z213">
        <v>9</v>
      </c>
      <c r="AA213" t="s">
        <v>336</v>
      </c>
      <c r="AB213" t="s">
        <v>78</v>
      </c>
      <c r="AC213">
        <v>0</v>
      </c>
      <c r="AD213">
        <v>1</v>
      </c>
      <c r="AE213">
        <v>1</v>
      </c>
      <c r="AF213">
        <v>1</v>
      </c>
      <c r="AG213">
        <v>1</v>
      </c>
      <c r="AH213">
        <v>1</v>
      </c>
      <c r="AI213" t="s">
        <v>83</v>
      </c>
      <c r="AJ213" t="s">
        <v>83</v>
      </c>
      <c r="AK213">
        <v>65</v>
      </c>
      <c r="AL213">
        <v>150</v>
      </c>
      <c r="AM213" t="s">
        <v>85</v>
      </c>
      <c r="AN213" t="s">
        <v>83</v>
      </c>
      <c r="AO213" t="s">
        <v>83</v>
      </c>
      <c r="AP213" t="s">
        <v>83</v>
      </c>
      <c r="AQ213">
        <v>10</v>
      </c>
      <c r="AR213">
        <v>10</v>
      </c>
      <c r="AS213">
        <v>10</v>
      </c>
      <c r="AT213" t="s">
        <v>475</v>
      </c>
      <c r="AU213">
        <v>72</v>
      </c>
      <c r="AV213" t="s">
        <v>83</v>
      </c>
      <c r="AW213" t="s">
        <v>83</v>
      </c>
      <c r="AX213">
        <v>1</v>
      </c>
      <c r="AY213" t="s">
        <v>83</v>
      </c>
      <c r="AZ213" t="s">
        <v>83</v>
      </c>
      <c r="BA213">
        <v>1</v>
      </c>
      <c r="BB213">
        <v>1</v>
      </c>
      <c r="BC213" t="s">
        <v>83</v>
      </c>
      <c r="BD213">
        <v>0</v>
      </c>
      <c r="BE213">
        <v>10</v>
      </c>
      <c r="BF213">
        <v>90</v>
      </c>
      <c r="BG213" t="s">
        <v>306</v>
      </c>
      <c r="BH213" t="s">
        <v>281</v>
      </c>
      <c r="BI213">
        <v>0.5</v>
      </c>
      <c r="BJ213">
        <v>1</v>
      </c>
      <c r="BK213">
        <v>9.9</v>
      </c>
      <c r="BL213">
        <v>0.5</v>
      </c>
    </row>
    <row r="214" spans="1:64" x14ac:dyDescent="0.25">
      <c r="A214" t="s">
        <v>503</v>
      </c>
      <c r="B214">
        <v>51</v>
      </c>
      <c r="C214" t="s">
        <v>453</v>
      </c>
      <c r="D214" t="s">
        <v>89</v>
      </c>
      <c r="E214" t="s">
        <v>67</v>
      </c>
      <c r="F214" t="s">
        <v>68</v>
      </c>
      <c r="G214" t="s">
        <v>69</v>
      </c>
      <c r="H214" t="s">
        <v>279</v>
      </c>
      <c r="I214" t="s">
        <v>166</v>
      </c>
      <c r="J214" t="s">
        <v>285</v>
      </c>
      <c r="K214" t="s">
        <v>290</v>
      </c>
      <c r="L214">
        <v>2</v>
      </c>
      <c r="M214">
        <v>12</v>
      </c>
      <c r="N214" t="s">
        <v>75</v>
      </c>
      <c r="O214" t="s">
        <v>135</v>
      </c>
      <c r="P214" t="s">
        <v>273</v>
      </c>
      <c r="Q214" t="s">
        <v>295</v>
      </c>
      <c r="R214" t="s">
        <v>274</v>
      </c>
      <c r="S214" t="s">
        <v>274</v>
      </c>
      <c r="T214" t="s">
        <v>274</v>
      </c>
      <c r="U214" t="s">
        <v>286</v>
      </c>
      <c r="V214" t="s">
        <v>274</v>
      </c>
      <c r="W214" t="s">
        <v>274</v>
      </c>
      <c r="X214" t="s">
        <v>324</v>
      </c>
      <c r="Y214">
        <v>5.5</v>
      </c>
      <c r="Z214">
        <v>8</v>
      </c>
      <c r="AA214" t="s">
        <v>266</v>
      </c>
      <c r="AB214" t="s">
        <v>275</v>
      </c>
      <c r="AC214">
        <v>9</v>
      </c>
      <c r="AD214">
        <v>2</v>
      </c>
      <c r="AE214">
        <v>1</v>
      </c>
      <c r="AF214">
        <v>2</v>
      </c>
      <c r="AG214">
        <v>2</v>
      </c>
      <c r="AH214">
        <v>1</v>
      </c>
      <c r="AI214" t="s">
        <v>274</v>
      </c>
      <c r="AJ214" t="s">
        <v>274</v>
      </c>
      <c r="AK214">
        <v>48</v>
      </c>
      <c r="AL214">
        <v>115</v>
      </c>
      <c r="AM214" t="s">
        <v>85</v>
      </c>
      <c r="AN214" t="s">
        <v>274</v>
      </c>
      <c r="AO214" t="s">
        <v>274</v>
      </c>
      <c r="AP214" t="s">
        <v>274</v>
      </c>
      <c r="AQ214">
        <v>9</v>
      </c>
      <c r="AR214">
        <v>8</v>
      </c>
      <c r="AS214">
        <v>9</v>
      </c>
      <c r="AT214" t="s">
        <v>266</v>
      </c>
      <c r="AU214">
        <v>56</v>
      </c>
      <c r="AV214" t="s">
        <v>274</v>
      </c>
      <c r="AW214" t="s">
        <v>274</v>
      </c>
      <c r="AX214">
        <v>1</v>
      </c>
      <c r="AY214" t="s">
        <v>83</v>
      </c>
      <c r="AZ214" t="s">
        <v>274</v>
      </c>
      <c r="BA214">
        <v>1</v>
      </c>
      <c r="BB214">
        <v>1</v>
      </c>
      <c r="BC214" t="s">
        <v>83</v>
      </c>
      <c r="BD214">
        <v>1</v>
      </c>
      <c r="BE214">
        <v>8</v>
      </c>
      <c r="BF214">
        <v>52</v>
      </c>
      <c r="BG214" t="s">
        <v>306</v>
      </c>
      <c r="BH214" t="s">
        <v>281</v>
      </c>
      <c r="BI214">
        <v>1.5</v>
      </c>
      <c r="BJ214">
        <v>2</v>
      </c>
      <c r="BK214">
        <v>9.1999999999999993</v>
      </c>
      <c r="BL214">
        <v>1.8</v>
      </c>
    </row>
    <row r="215" spans="1:64" x14ac:dyDescent="0.25">
      <c r="A215" t="s">
        <v>504</v>
      </c>
      <c r="B215">
        <v>64</v>
      </c>
      <c r="C215" t="s">
        <v>460</v>
      </c>
      <c r="D215" t="s">
        <v>66</v>
      </c>
      <c r="E215" t="s">
        <v>114</v>
      </c>
      <c r="F215" t="s">
        <v>145</v>
      </c>
      <c r="G215" t="s">
        <v>146</v>
      </c>
      <c r="H215" t="s">
        <v>124</v>
      </c>
      <c r="I215" t="s">
        <v>461</v>
      </c>
      <c r="J215" t="s">
        <v>462</v>
      </c>
      <c r="K215" t="s">
        <v>290</v>
      </c>
      <c r="L215">
        <v>1.5</v>
      </c>
      <c r="M215">
        <v>7</v>
      </c>
      <c r="N215" t="s">
        <v>135</v>
      </c>
      <c r="O215" t="s">
        <v>463</v>
      </c>
      <c r="P215" t="s">
        <v>454</v>
      </c>
      <c r="Q215" t="s">
        <v>295</v>
      </c>
      <c r="R215" t="s">
        <v>83</v>
      </c>
      <c r="S215" t="s">
        <v>83</v>
      </c>
      <c r="T215" t="s">
        <v>83</v>
      </c>
      <c r="U215" t="s">
        <v>286</v>
      </c>
      <c r="V215" t="s">
        <v>83</v>
      </c>
      <c r="W215" t="s">
        <v>83</v>
      </c>
      <c r="X215" t="s">
        <v>467</v>
      </c>
      <c r="Y215">
        <v>4</v>
      </c>
      <c r="Z215">
        <v>8.5</v>
      </c>
      <c r="AA215" t="s">
        <v>266</v>
      </c>
      <c r="AB215" t="s">
        <v>78</v>
      </c>
      <c r="AC215">
        <v>0</v>
      </c>
      <c r="AD215">
        <v>2</v>
      </c>
      <c r="AE215">
        <v>1</v>
      </c>
      <c r="AF215">
        <v>2</v>
      </c>
      <c r="AG215">
        <v>1</v>
      </c>
      <c r="AH215">
        <v>1</v>
      </c>
      <c r="AI215" t="s">
        <v>83</v>
      </c>
      <c r="AJ215" t="s">
        <v>83</v>
      </c>
      <c r="AK215">
        <v>55</v>
      </c>
      <c r="AL215">
        <v>130</v>
      </c>
      <c r="AM215" t="s">
        <v>85</v>
      </c>
      <c r="AN215" t="s">
        <v>83</v>
      </c>
      <c r="AO215" t="s">
        <v>274</v>
      </c>
      <c r="AP215" t="s">
        <v>83</v>
      </c>
      <c r="AQ215">
        <v>9</v>
      </c>
      <c r="AR215">
        <v>9</v>
      </c>
      <c r="AS215">
        <v>9</v>
      </c>
      <c r="AT215" t="s">
        <v>336</v>
      </c>
      <c r="AU215">
        <v>68</v>
      </c>
      <c r="AV215" t="s">
        <v>274</v>
      </c>
      <c r="AW215" t="s">
        <v>83</v>
      </c>
      <c r="AX215">
        <v>1</v>
      </c>
      <c r="AY215" t="s">
        <v>83</v>
      </c>
      <c r="AZ215" t="s">
        <v>83</v>
      </c>
      <c r="BA215">
        <v>1</v>
      </c>
      <c r="BB215">
        <v>1</v>
      </c>
      <c r="BC215" t="s">
        <v>83</v>
      </c>
      <c r="BD215">
        <v>1</v>
      </c>
      <c r="BE215">
        <v>9</v>
      </c>
      <c r="BF215">
        <v>72</v>
      </c>
      <c r="BG215" t="s">
        <v>306</v>
      </c>
      <c r="BH215" t="s">
        <v>281</v>
      </c>
      <c r="BI215">
        <v>1</v>
      </c>
      <c r="BJ215">
        <v>1.4</v>
      </c>
      <c r="BK215">
        <v>9.6999999999999993</v>
      </c>
      <c r="BL215">
        <v>1</v>
      </c>
    </row>
    <row r="216" spans="1:64" x14ac:dyDescent="0.25">
      <c r="A216" t="s">
        <v>505</v>
      </c>
      <c r="B216">
        <v>55</v>
      </c>
      <c r="C216" t="s">
        <v>453</v>
      </c>
      <c r="D216" t="s">
        <v>89</v>
      </c>
      <c r="E216" t="s">
        <v>107</v>
      </c>
      <c r="F216" t="s">
        <v>141</v>
      </c>
      <c r="G216" t="s">
        <v>142</v>
      </c>
      <c r="H216" t="s">
        <v>279</v>
      </c>
      <c r="I216" t="s">
        <v>166</v>
      </c>
      <c r="J216" t="s">
        <v>289</v>
      </c>
      <c r="K216" t="s">
        <v>290</v>
      </c>
      <c r="L216">
        <v>2</v>
      </c>
      <c r="M216">
        <v>12</v>
      </c>
      <c r="N216" t="s">
        <v>272</v>
      </c>
      <c r="O216" t="s">
        <v>75</v>
      </c>
      <c r="P216" t="s">
        <v>273</v>
      </c>
      <c r="Q216" t="s">
        <v>295</v>
      </c>
      <c r="R216" t="s">
        <v>274</v>
      </c>
      <c r="S216" t="s">
        <v>274</v>
      </c>
      <c r="T216" t="s">
        <v>274</v>
      </c>
      <c r="U216" t="s">
        <v>286</v>
      </c>
      <c r="V216" t="s">
        <v>274</v>
      </c>
      <c r="W216" t="s">
        <v>274</v>
      </c>
      <c r="X216" t="s">
        <v>313</v>
      </c>
      <c r="Y216">
        <v>5.5</v>
      </c>
      <c r="Z216">
        <v>8</v>
      </c>
      <c r="AA216" t="s">
        <v>266</v>
      </c>
      <c r="AB216" t="s">
        <v>78</v>
      </c>
      <c r="AC216">
        <v>9.5</v>
      </c>
      <c r="AD216">
        <v>2</v>
      </c>
      <c r="AE216">
        <v>1</v>
      </c>
      <c r="AF216">
        <v>2</v>
      </c>
      <c r="AG216">
        <v>2</v>
      </c>
      <c r="AH216">
        <v>1</v>
      </c>
      <c r="AI216" t="s">
        <v>274</v>
      </c>
      <c r="AJ216" t="s">
        <v>274</v>
      </c>
      <c r="AK216">
        <v>48</v>
      </c>
      <c r="AL216">
        <v>115</v>
      </c>
      <c r="AM216" t="s">
        <v>85</v>
      </c>
      <c r="AN216" t="s">
        <v>274</v>
      </c>
      <c r="AO216" t="s">
        <v>274</v>
      </c>
      <c r="AP216" t="s">
        <v>274</v>
      </c>
      <c r="AQ216">
        <v>9</v>
      </c>
      <c r="AR216">
        <v>8</v>
      </c>
      <c r="AS216">
        <v>9</v>
      </c>
      <c r="AT216" t="s">
        <v>266</v>
      </c>
      <c r="AU216">
        <v>56</v>
      </c>
      <c r="AV216" t="s">
        <v>274</v>
      </c>
      <c r="AW216" t="s">
        <v>274</v>
      </c>
      <c r="AX216">
        <v>1</v>
      </c>
      <c r="AY216" t="s">
        <v>83</v>
      </c>
      <c r="AZ216" t="s">
        <v>274</v>
      </c>
      <c r="BA216">
        <v>1</v>
      </c>
      <c r="BB216">
        <v>1</v>
      </c>
      <c r="BC216" t="s">
        <v>83</v>
      </c>
      <c r="BD216">
        <v>1</v>
      </c>
      <c r="BE216">
        <v>8</v>
      </c>
      <c r="BF216">
        <v>55</v>
      </c>
      <c r="BG216" t="s">
        <v>306</v>
      </c>
      <c r="BH216" t="s">
        <v>281</v>
      </c>
      <c r="BI216">
        <v>1.5</v>
      </c>
      <c r="BJ216">
        <v>2</v>
      </c>
      <c r="BK216">
        <v>9.1999999999999993</v>
      </c>
      <c r="BL216">
        <v>1.8</v>
      </c>
    </row>
    <row r="217" spans="1:64" x14ac:dyDescent="0.25">
      <c r="A217" t="s">
        <v>506</v>
      </c>
      <c r="B217">
        <v>67</v>
      </c>
      <c r="C217" t="s">
        <v>460</v>
      </c>
      <c r="D217" t="s">
        <v>66</v>
      </c>
      <c r="E217" t="s">
        <v>90</v>
      </c>
      <c r="F217" t="s">
        <v>157</v>
      </c>
      <c r="G217" t="s">
        <v>158</v>
      </c>
      <c r="H217" t="s">
        <v>124</v>
      </c>
      <c r="I217" t="s">
        <v>461</v>
      </c>
      <c r="J217" t="s">
        <v>462</v>
      </c>
      <c r="K217" t="s">
        <v>290</v>
      </c>
      <c r="L217">
        <v>1.5</v>
      </c>
      <c r="M217">
        <v>8</v>
      </c>
      <c r="N217" t="s">
        <v>74</v>
      </c>
      <c r="O217" t="s">
        <v>135</v>
      </c>
      <c r="P217" t="s">
        <v>454</v>
      </c>
      <c r="Q217" t="s">
        <v>295</v>
      </c>
      <c r="R217" t="s">
        <v>83</v>
      </c>
      <c r="S217" t="s">
        <v>83</v>
      </c>
      <c r="T217" t="s">
        <v>83</v>
      </c>
      <c r="U217" t="s">
        <v>286</v>
      </c>
      <c r="V217" t="s">
        <v>83</v>
      </c>
      <c r="W217" t="s">
        <v>83</v>
      </c>
      <c r="X217" t="s">
        <v>489</v>
      </c>
      <c r="Y217">
        <v>4</v>
      </c>
      <c r="Z217">
        <v>8.5</v>
      </c>
      <c r="AA217" t="s">
        <v>266</v>
      </c>
      <c r="AB217" t="s">
        <v>78</v>
      </c>
      <c r="AC217">
        <v>0</v>
      </c>
      <c r="AD217">
        <v>2</v>
      </c>
      <c r="AE217">
        <v>1</v>
      </c>
      <c r="AF217">
        <v>2</v>
      </c>
      <c r="AG217">
        <v>1</v>
      </c>
      <c r="AH217">
        <v>1</v>
      </c>
      <c r="AI217" t="s">
        <v>83</v>
      </c>
      <c r="AJ217" t="s">
        <v>83</v>
      </c>
      <c r="AK217">
        <v>55</v>
      </c>
      <c r="AL217">
        <v>130</v>
      </c>
      <c r="AM217" t="s">
        <v>85</v>
      </c>
      <c r="AN217" t="s">
        <v>83</v>
      </c>
      <c r="AO217" t="s">
        <v>274</v>
      </c>
      <c r="AP217" t="s">
        <v>83</v>
      </c>
      <c r="AQ217">
        <v>9</v>
      </c>
      <c r="AR217">
        <v>9</v>
      </c>
      <c r="AS217">
        <v>9</v>
      </c>
      <c r="AT217" t="s">
        <v>336</v>
      </c>
      <c r="AU217">
        <v>68</v>
      </c>
      <c r="AV217" t="s">
        <v>274</v>
      </c>
      <c r="AW217" t="s">
        <v>83</v>
      </c>
      <c r="AX217">
        <v>1</v>
      </c>
      <c r="AY217" t="s">
        <v>83</v>
      </c>
      <c r="AZ217" t="s">
        <v>83</v>
      </c>
      <c r="BA217">
        <v>1</v>
      </c>
      <c r="BB217">
        <v>1</v>
      </c>
      <c r="BC217" t="s">
        <v>83</v>
      </c>
      <c r="BD217">
        <v>1</v>
      </c>
      <c r="BE217">
        <v>9</v>
      </c>
      <c r="BF217">
        <v>72</v>
      </c>
      <c r="BG217" t="s">
        <v>306</v>
      </c>
      <c r="BH217" t="s">
        <v>281</v>
      </c>
      <c r="BI217">
        <v>1</v>
      </c>
      <c r="BJ217">
        <v>1.4</v>
      </c>
      <c r="BK217">
        <v>9.6999999999999993</v>
      </c>
      <c r="BL217">
        <v>1</v>
      </c>
    </row>
    <row r="218" spans="1:64" x14ac:dyDescent="0.25">
      <c r="A218" t="s">
        <v>507</v>
      </c>
      <c r="B218">
        <v>56</v>
      </c>
      <c r="C218" t="s">
        <v>453</v>
      </c>
      <c r="D218" t="s">
        <v>89</v>
      </c>
      <c r="E218" t="s">
        <v>97</v>
      </c>
      <c r="F218" t="s">
        <v>163</v>
      </c>
      <c r="G218" t="s">
        <v>164</v>
      </c>
      <c r="H218" t="s">
        <v>124</v>
      </c>
      <c r="I218" t="s">
        <v>166</v>
      </c>
      <c r="J218" t="s">
        <v>242</v>
      </c>
      <c r="K218" t="s">
        <v>290</v>
      </c>
      <c r="L218">
        <v>2</v>
      </c>
      <c r="M218">
        <v>10</v>
      </c>
      <c r="N218" t="s">
        <v>272</v>
      </c>
      <c r="O218" t="s">
        <v>135</v>
      </c>
      <c r="P218" t="s">
        <v>273</v>
      </c>
      <c r="Q218" t="s">
        <v>295</v>
      </c>
      <c r="R218" t="s">
        <v>274</v>
      </c>
      <c r="S218" t="s">
        <v>274</v>
      </c>
      <c r="T218" t="s">
        <v>274</v>
      </c>
      <c r="U218" t="s">
        <v>286</v>
      </c>
      <c r="V218" t="s">
        <v>274</v>
      </c>
      <c r="W218" t="s">
        <v>274</v>
      </c>
      <c r="X218" t="s">
        <v>358</v>
      </c>
      <c r="Y218">
        <v>5.5</v>
      </c>
      <c r="Z218">
        <v>8</v>
      </c>
      <c r="AA218" t="s">
        <v>266</v>
      </c>
      <c r="AB218" t="s">
        <v>275</v>
      </c>
      <c r="AC218">
        <v>9</v>
      </c>
      <c r="AD218">
        <v>2</v>
      </c>
      <c r="AE218">
        <v>1</v>
      </c>
      <c r="AF218">
        <v>2</v>
      </c>
      <c r="AG218">
        <v>2</v>
      </c>
      <c r="AH218">
        <v>1</v>
      </c>
      <c r="AI218" t="s">
        <v>274</v>
      </c>
      <c r="AJ218" t="s">
        <v>274</v>
      </c>
      <c r="AK218">
        <v>48</v>
      </c>
      <c r="AL218">
        <v>115</v>
      </c>
      <c r="AM218" t="s">
        <v>85</v>
      </c>
      <c r="AN218" t="s">
        <v>274</v>
      </c>
      <c r="AO218" t="s">
        <v>274</v>
      </c>
      <c r="AP218" t="s">
        <v>274</v>
      </c>
      <c r="AQ218">
        <v>9</v>
      </c>
      <c r="AR218">
        <v>8</v>
      </c>
      <c r="AS218">
        <v>9</v>
      </c>
      <c r="AT218" t="s">
        <v>266</v>
      </c>
      <c r="AU218">
        <v>56</v>
      </c>
      <c r="AV218" t="s">
        <v>274</v>
      </c>
      <c r="AW218" t="s">
        <v>274</v>
      </c>
      <c r="AX218">
        <v>1</v>
      </c>
      <c r="AY218" t="s">
        <v>83</v>
      </c>
      <c r="AZ218" t="s">
        <v>274</v>
      </c>
      <c r="BA218">
        <v>1</v>
      </c>
      <c r="BB218">
        <v>1</v>
      </c>
      <c r="BC218" t="s">
        <v>83</v>
      </c>
      <c r="BD218">
        <v>1</v>
      </c>
      <c r="BE218">
        <v>8</v>
      </c>
      <c r="BF218">
        <v>52</v>
      </c>
      <c r="BG218" t="s">
        <v>306</v>
      </c>
      <c r="BH218" t="s">
        <v>281</v>
      </c>
      <c r="BI218">
        <v>1.5</v>
      </c>
      <c r="BJ218">
        <v>2</v>
      </c>
      <c r="BK218">
        <v>9.1999999999999993</v>
      </c>
      <c r="BL218">
        <v>1.8</v>
      </c>
    </row>
    <row r="219" spans="1:64" x14ac:dyDescent="0.25">
      <c r="A219" t="s">
        <v>508</v>
      </c>
      <c r="B219">
        <v>70</v>
      </c>
      <c r="C219" t="s">
        <v>460</v>
      </c>
      <c r="D219" t="s">
        <v>66</v>
      </c>
      <c r="E219" t="s">
        <v>67</v>
      </c>
      <c r="F219" t="s">
        <v>68</v>
      </c>
      <c r="G219" t="s">
        <v>69</v>
      </c>
      <c r="H219" t="s">
        <v>124</v>
      </c>
      <c r="I219" t="s">
        <v>461</v>
      </c>
      <c r="J219" t="s">
        <v>462</v>
      </c>
      <c r="K219" t="s">
        <v>290</v>
      </c>
      <c r="L219">
        <v>1</v>
      </c>
      <c r="M219">
        <v>6</v>
      </c>
      <c r="N219" t="s">
        <v>135</v>
      </c>
      <c r="O219" t="s">
        <v>463</v>
      </c>
      <c r="P219" t="s">
        <v>454</v>
      </c>
      <c r="Q219" t="s">
        <v>473</v>
      </c>
      <c r="R219" t="s">
        <v>83</v>
      </c>
      <c r="S219" t="s">
        <v>83</v>
      </c>
      <c r="T219" t="s">
        <v>83</v>
      </c>
      <c r="U219" t="s">
        <v>286</v>
      </c>
      <c r="V219" t="s">
        <v>83</v>
      </c>
      <c r="W219" t="s">
        <v>83</v>
      </c>
      <c r="X219" t="s">
        <v>470</v>
      </c>
      <c r="Y219">
        <v>4</v>
      </c>
      <c r="Z219">
        <v>9</v>
      </c>
      <c r="AA219" t="s">
        <v>336</v>
      </c>
      <c r="AB219" t="s">
        <v>78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 t="s">
        <v>83</v>
      </c>
      <c r="AJ219" t="s">
        <v>83</v>
      </c>
      <c r="AK219">
        <v>60</v>
      </c>
      <c r="AL219">
        <v>140</v>
      </c>
      <c r="AM219" t="s">
        <v>85</v>
      </c>
      <c r="AN219" t="s">
        <v>83</v>
      </c>
      <c r="AO219" t="s">
        <v>83</v>
      </c>
      <c r="AP219" t="s">
        <v>83</v>
      </c>
      <c r="AQ219">
        <v>10</v>
      </c>
      <c r="AR219">
        <v>9</v>
      </c>
      <c r="AS219">
        <v>10</v>
      </c>
      <c r="AT219" t="s">
        <v>475</v>
      </c>
      <c r="AU219">
        <v>70</v>
      </c>
      <c r="AV219" t="s">
        <v>83</v>
      </c>
      <c r="AW219" t="s">
        <v>83</v>
      </c>
      <c r="AX219">
        <v>1</v>
      </c>
      <c r="AY219" t="s">
        <v>83</v>
      </c>
      <c r="AZ219" t="s">
        <v>83</v>
      </c>
      <c r="BA219">
        <v>1</v>
      </c>
      <c r="BB219">
        <v>1</v>
      </c>
      <c r="BC219" t="s">
        <v>83</v>
      </c>
      <c r="BD219">
        <v>0</v>
      </c>
      <c r="BE219">
        <v>10</v>
      </c>
      <c r="BF219">
        <v>82</v>
      </c>
      <c r="BG219" t="s">
        <v>306</v>
      </c>
      <c r="BH219" t="s">
        <v>281</v>
      </c>
      <c r="BI219">
        <v>0.8</v>
      </c>
      <c r="BJ219">
        <v>1.2</v>
      </c>
      <c r="BK219">
        <v>9.8000000000000007</v>
      </c>
      <c r="BL219">
        <v>0.8</v>
      </c>
    </row>
    <row r="220" spans="1:64" x14ac:dyDescent="0.25">
      <c r="A220" t="s">
        <v>509</v>
      </c>
      <c r="B220">
        <v>53</v>
      </c>
      <c r="C220" t="s">
        <v>453</v>
      </c>
      <c r="D220" t="s">
        <v>89</v>
      </c>
      <c r="E220" t="s">
        <v>114</v>
      </c>
      <c r="F220" t="s">
        <v>173</v>
      </c>
      <c r="G220" t="s">
        <v>174</v>
      </c>
      <c r="H220" t="s">
        <v>124</v>
      </c>
      <c r="I220" t="s">
        <v>166</v>
      </c>
      <c r="J220" t="s">
        <v>264</v>
      </c>
      <c r="K220" t="s">
        <v>290</v>
      </c>
      <c r="L220">
        <v>2</v>
      </c>
      <c r="M220">
        <v>9</v>
      </c>
      <c r="N220" t="s">
        <v>135</v>
      </c>
      <c r="O220" t="s">
        <v>272</v>
      </c>
      <c r="P220" t="s">
        <v>273</v>
      </c>
      <c r="Q220" t="s">
        <v>295</v>
      </c>
      <c r="R220" t="s">
        <v>274</v>
      </c>
      <c r="S220" t="s">
        <v>274</v>
      </c>
      <c r="T220" t="s">
        <v>274</v>
      </c>
      <c r="U220" t="s">
        <v>286</v>
      </c>
      <c r="V220" t="s">
        <v>274</v>
      </c>
      <c r="W220" t="s">
        <v>274</v>
      </c>
      <c r="X220" t="s">
        <v>388</v>
      </c>
      <c r="Y220">
        <v>5.5</v>
      </c>
      <c r="Z220">
        <v>8</v>
      </c>
      <c r="AA220" t="s">
        <v>266</v>
      </c>
      <c r="AB220" t="s">
        <v>275</v>
      </c>
      <c r="AC220">
        <v>8.5</v>
      </c>
      <c r="AD220">
        <v>2</v>
      </c>
      <c r="AE220">
        <v>1</v>
      </c>
      <c r="AF220">
        <v>2</v>
      </c>
      <c r="AG220">
        <v>2</v>
      </c>
      <c r="AH220">
        <v>1</v>
      </c>
      <c r="AI220" t="s">
        <v>274</v>
      </c>
      <c r="AJ220" t="s">
        <v>274</v>
      </c>
      <c r="AK220">
        <v>48</v>
      </c>
      <c r="AL220">
        <v>115</v>
      </c>
      <c r="AM220" t="s">
        <v>85</v>
      </c>
      <c r="AN220" t="s">
        <v>274</v>
      </c>
      <c r="AO220" t="s">
        <v>274</v>
      </c>
      <c r="AP220" t="s">
        <v>274</v>
      </c>
      <c r="AQ220">
        <v>9</v>
      </c>
      <c r="AR220">
        <v>8</v>
      </c>
      <c r="AS220">
        <v>9</v>
      </c>
      <c r="AT220" t="s">
        <v>266</v>
      </c>
      <c r="AU220">
        <v>56</v>
      </c>
      <c r="AV220" t="s">
        <v>274</v>
      </c>
      <c r="AW220" t="s">
        <v>274</v>
      </c>
      <c r="AX220">
        <v>1</v>
      </c>
      <c r="AY220" t="s">
        <v>83</v>
      </c>
      <c r="AZ220" t="s">
        <v>274</v>
      </c>
      <c r="BA220">
        <v>1</v>
      </c>
      <c r="BB220">
        <v>1</v>
      </c>
      <c r="BC220" t="s">
        <v>83</v>
      </c>
      <c r="BD220">
        <v>1</v>
      </c>
      <c r="BE220">
        <v>8</v>
      </c>
      <c r="BF220">
        <v>52</v>
      </c>
      <c r="BG220" t="s">
        <v>306</v>
      </c>
      <c r="BH220" t="s">
        <v>281</v>
      </c>
      <c r="BI220">
        <v>1.5</v>
      </c>
      <c r="BJ220">
        <v>2</v>
      </c>
      <c r="BK220">
        <v>9.1999999999999993</v>
      </c>
      <c r="BL220">
        <v>1.8</v>
      </c>
    </row>
    <row r="221" spans="1:64" x14ac:dyDescent="0.25">
      <c r="A221" t="s">
        <v>510</v>
      </c>
      <c r="B221">
        <v>62</v>
      </c>
      <c r="C221" t="s">
        <v>460</v>
      </c>
      <c r="D221" t="s">
        <v>66</v>
      </c>
      <c r="E221" t="s">
        <v>107</v>
      </c>
      <c r="F221" t="s">
        <v>204</v>
      </c>
      <c r="G221" t="s">
        <v>205</v>
      </c>
      <c r="H221" t="s">
        <v>279</v>
      </c>
      <c r="I221" t="s">
        <v>461</v>
      </c>
      <c r="J221" t="s">
        <v>462</v>
      </c>
      <c r="K221" t="s">
        <v>290</v>
      </c>
      <c r="L221">
        <v>1</v>
      </c>
      <c r="M221">
        <v>8</v>
      </c>
      <c r="N221" t="s">
        <v>135</v>
      </c>
      <c r="O221" t="s">
        <v>74</v>
      </c>
      <c r="P221" t="s">
        <v>454</v>
      </c>
      <c r="Q221" t="s">
        <v>473</v>
      </c>
      <c r="R221" t="s">
        <v>83</v>
      </c>
      <c r="S221" t="s">
        <v>83</v>
      </c>
      <c r="T221" t="s">
        <v>83</v>
      </c>
      <c r="U221" t="s">
        <v>286</v>
      </c>
      <c r="V221" t="s">
        <v>83</v>
      </c>
      <c r="W221" t="s">
        <v>83</v>
      </c>
      <c r="X221" t="s">
        <v>511</v>
      </c>
      <c r="Y221">
        <v>4</v>
      </c>
      <c r="Z221">
        <v>9</v>
      </c>
      <c r="AA221" t="s">
        <v>336</v>
      </c>
      <c r="AB221" t="s">
        <v>78</v>
      </c>
      <c r="AC221">
        <v>0</v>
      </c>
      <c r="AD221">
        <v>1</v>
      </c>
      <c r="AE221">
        <v>1</v>
      </c>
      <c r="AF221">
        <v>1</v>
      </c>
      <c r="AG221">
        <v>1</v>
      </c>
      <c r="AH221">
        <v>1</v>
      </c>
      <c r="AI221" t="s">
        <v>83</v>
      </c>
      <c r="AJ221" t="s">
        <v>83</v>
      </c>
      <c r="AK221">
        <v>60</v>
      </c>
      <c r="AL221">
        <v>140</v>
      </c>
      <c r="AM221" t="s">
        <v>85</v>
      </c>
      <c r="AN221" t="s">
        <v>83</v>
      </c>
      <c r="AO221" t="s">
        <v>83</v>
      </c>
      <c r="AP221" t="s">
        <v>83</v>
      </c>
      <c r="AQ221">
        <v>10</v>
      </c>
      <c r="AR221">
        <v>10</v>
      </c>
      <c r="AS221">
        <v>10</v>
      </c>
      <c r="AT221" t="s">
        <v>475</v>
      </c>
      <c r="AU221">
        <v>72</v>
      </c>
      <c r="AV221" t="s">
        <v>83</v>
      </c>
      <c r="AW221" t="s">
        <v>83</v>
      </c>
      <c r="AX221">
        <v>1</v>
      </c>
      <c r="AY221" t="s">
        <v>83</v>
      </c>
      <c r="AZ221" t="s">
        <v>83</v>
      </c>
      <c r="BA221">
        <v>1</v>
      </c>
      <c r="BB221">
        <v>1</v>
      </c>
      <c r="BC221" t="s">
        <v>83</v>
      </c>
      <c r="BD221">
        <v>0</v>
      </c>
      <c r="BE221">
        <v>10</v>
      </c>
      <c r="BF221">
        <v>82</v>
      </c>
      <c r="BG221" t="s">
        <v>306</v>
      </c>
      <c r="BH221" t="s">
        <v>281</v>
      </c>
      <c r="BI221">
        <v>0.8</v>
      </c>
      <c r="BJ221">
        <v>1.2</v>
      </c>
      <c r="BK221">
        <v>9.8000000000000007</v>
      </c>
      <c r="BL221">
        <v>0.8</v>
      </c>
    </row>
    <row r="222" spans="1:64" x14ac:dyDescent="0.25">
      <c r="A222" t="s">
        <v>512</v>
      </c>
      <c r="B222">
        <v>57</v>
      </c>
      <c r="C222" t="s">
        <v>453</v>
      </c>
      <c r="D222" t="s">
        <v>89</v>
      </c>
      <c r="E222" t="s">
        <v>90</v>
      </c>
      <c r="F222" t="s">
        <v>253</v>
      </c>
      <c r="G222" t="s">
        <v>254</v>
      </c>
      <c r="H222" t="s">
        <v>124</v>
      </c>
      <c r="I222" t="s">
        <v>166</v>
      </c>
      <c r="J222" t="s">
        <v>315</v>
      </c>
      <c r="K222" t="s">
        <v>290</v>
      </c>
      <c r="L222">
        <v>2</v>
      </c>
      <c r="M222">
        <v>9</v>
      </c>
      <c r="N222" t="s">
        <v>135</v>
      </c>
      <c r="O222" t="s">
        <v>75</v>
      </c>
      <c r="P222" t="s">
        <v>273</v>
      </c>
      <c r="Q222" t="s">
        <v>295</v>
      </c>
      <c r="R222" t="s">
        <v>274</v>
      </c>
      <c r="S222" t="s">
        <v>274</v>
      </c>
      <c r="T222" t="s">
        <v>274</v>
      </c>
      <c r="U222" t="s">
        <v>286</v>
      </c>
      <c r="V222" t="s">
        <v>274</v>
      </c>
      <c r="W222" t="s">
        <v>274</v>
      </c>
      <c r="X222" t="s">
        <v>474</v>
      </c>
      <c r="Y222">
        <v>5.5</v>
      </c>
      <c r="Z222">
        <v>8</v>
      </c>
      <c r="AA222" t="s">
        <v>266</v>
      </c>
      <c r="AB222" t="s">
        <v>275</v>
      </c>
      <c r="AC222">
        <v>8.5</v>
      </c>
      <c r="AD222">
        <v>2</v>
      </c>
      <c r="AE222">
        <v>1</v>
      </c>
      <c r="AF222">
        <v>2</v>
      </c>
      <c r="AG222">
        <v>2</v>
      </c>
      <c r="AH222">
        <v>1</v>
      </c>
      <c r="AI222" t="s">
        <v>274</v>
      </c>
      <c r="AJ222" t="s">
        <v>274</v>
      </c>
      <c r="AK222">
        <v>48</v>
      </c>
      <c r="AL222">
        <v>115</v>
      </c>
      <c r="AM222" t="s">
        <v>85</v>
      </c>
      <c r="AN222" t="s">
        <v>274</v>
      </c>
      <c r="AO222" t="s">
        <v>274</v>
      </c>
      <c r="AP222" t="s">
        <v>274</v>
      </c>
      <c r="AQ222">
        <v>9</v>
      </c>
      <c r="AR222">
        <v>8</v>
      </c>
      <c r="AS222">
        <v>9</v>
      </c>
      <c r="AT222" t="s">
        <v>266</v>
      </c>
      <c r="AU222">
        <v>55</v>
      </c>
      <c r="AV222" t="s">
        <v>274</v>
      </c>
      <c r="AW222" t="s">
        <v>274</v>
      </c>
      <c r="AX222">
        <v>1</v>
      </c>
      <c r="AY222" t="s">
        <v>83</v>
      </c>
      <c r="AZ222" t="s">
        <v>274</v>
      </c>
      <c r="BA222">
        <v>1</v>
      </c>
      <c r="BB222">
        <v>1</v>
      </c>
      <c r="BC222" t="s">
        <v>83</v>
      </c>
      <c r="BD222">
        <v>1</v>
      </c>
      <c r="BE222">
        <v>8</v>
      </c>
      <c r="BF222">
        <v>52</v>
      </c>
      <c r="BG222" t="s">
        <v>306</v>
      </c>
      <c r="BH222" t="s">
        <v>281</v>
      </c>
      <c r="BI222">
        <v>1.5</v>
      </c>
      <c r="BJ222">
        <v>2</v>
      </c>
      <c r="BK222">
        <v>9.1999999999999993</v>
      </c>
      <c r="BL222">
        <v>1.8</v>
      </c>
    </row>
    <row r="223" spans="1:64" x14ac:dyDescent="0.25">
      <c r="A223" t="s">
        <v>513</v>
      </c>
      <c r="B223">
        <v>65</v>
      </c>
      <c r="C223" t="s">
        <v>460</v>
      </c>
      <c r="D223" t="s">
        <v>66</v>
      </c>
      <c r="E223" t="s">
        <v>97</v>
      </c>
      <c r="F223" t="s">
        <v>98</v>
      </c>
      <c r="G223" t="s">
        <v>99</v>
      </c>
      <c r="H223" t="s">
        <v>124</v>
      </c>
      <c r="I223" t="s">
        <v>461</v>
      </c>
      <c r="J223" t="s">
        <v>462</v>
      </c>
      <c r="K223" t="s">
        <v>290</v>
      </c>
      <c r="L223">
        <v>1.5</v>
      </c>
      <c r="M223">
        <v>7</v>
      </c>
      <c r="N223" t="s">
        <v>135</v>
      </c>
      <c r="O223" t="s">
        <v>463</v>
      </c>
      <c r="P223" t="s">
        <v>454</v>
      </c>
      <c r="Q223" t="s">
        <v>295</v>
      </c>
      <c r="R223" t="s">
        <v>83</v>
      </c>
      <c r="S223" t="s">
        <v>83</v>
      </c>
      <c r="T223" t="s">
        <v>83</v>
      </c>
      <c r="U223" t="s">
        <v>286</v>
      </c>
      <c r="V223" t="s">
        <v>83</v>
      </c>
      <c r="W223" t="s">
        <v>83</v>
      </c>
      <c r="X223" t="s">
        <v>470</v>
      </c>
      <c r="Y223">
        <v>4</v>
      </c>
      <c r="Z223">
        <v>8.5</v>
      </c>
      <c r="AA223" t="s">
        <v>336</v>
      </c>
      <c r="AB223" t="s">
        <v>78</v>
      </c>
      <c r="AC223">
        <v>0</v>
      </c>
      <c r="AD223">
        <v>2</v>
      </c>
      <c r="AE223">
        <v>1</v>
      </c>
      <c r="AF223">
        <v>2</v>
      </c>
      <c r="AG223">
        <v>1</v>
      </c>
      <c r="AH223">
        <v>1</v>
      </c>
      <c r="AI223" t="s">
        <v>83</v>
      </c>
      <c r="AJ223" t="s">
        <v>83</v>
      </c>
      <c r="AK223">
        <v>55</v>
      </c>
      <c r="AL223">
        <v>130</v>
      </c>
      <c r="AM223" t="s">
        <v>85</v>
      </c>
      <c r="AN223" t="s">
        <v>83</v>
      </c>
      <c r="AO223" t="s">
        <v>274</v>
      </c>
      <c r="AP223" t="s">
        <v>83</v>
      </c>
      <c r="AQ223">
        <v>9</v>
      </c>
      <c r="AR223">
        <v>9</v>
      </c>
      <c r="AS223">
        <v>9</v>
      </c>
      <c r="AT223" t="s">
        <v>336</v>
      </c>
      <c r="AU223">
        <v>68</v>
      </c>
      <c r="AV223" t="s">
        <v>274</v>
      </c>
      <c r="AW223" t="s">
        <v>83</v>
      </c>
      <c r="AX223">
        <v>1</v>
      </c>
      <c r="AY223" t="s">
        <v>83</v>
      </c>
      <c r="AZ223" t="s">
        <v>83</v>
      </c>
      <c r="BA223">
        <v>1</v>
      </c>
      <c r="BB223">
        <v>1</v>
      </c>
      <c r="BC223" t="s">
        <v>83</v>
      </c>
      <c r="BD223">
        <v>1</v>
      </c>
      <c r="BE223">
        <v>9</v>
      </c>
      <c r="BF223">
        <v>74</v>
      </c>
      <c r="BG223" t="s">
        <v>306</v>
      </c>
      <c r="BH223" t="s">
        <v>281</v>
      </c>
      <c r="BI223">
        <v>1</v>
      </c>
      <c r="BJ223">
        <v>1.4</v>
      </c>
      <c r="BK223">
        <v>9.6999999999999993</v>
      </c>
      <c r="BL223">
        <v>1</v>
      </c>
    </row>
    <row r="224" spans="1:64" x14ac:dyDescent="0.25">
      <c r="A224" t="s">
        <v>514</v>
      </c>
      <c r="B224">
        <v>52</v>
      </c>
      <c r="C224" t="s">
        <v>453</v>
      </c>
      <c r="D224" t="s">
        <v>89</v>
      </c>
      <c r="E224" t="s">
        <v>107</v>
      </c>
      <c r="F224" t="s">
        <v>260</v>
      </c>
      <c r="G224" t="s">
        <v>261</v>
      </c>
      <c r="H224" t="s">
        <v>279</v>
      </c>
      <c r="I224" t="s">
        <v>166</v>
      </c>
      <c r="J224" t="s">
        <v>167</v>
      </c>
      <c r="K224" t="s">
        <v>290</v>
      </c>
      <c r="L224">
        <v>1.5</v>
      </c>
      <c r="M224">
        <v>12</v>
      </c>
      <c r="N224" t="s">
        <v>272</v>
      </c>
      <c r="O224" t="s">
        <v>75</v>
      </c>
      <c r="P224" t="s">
        <v>454</v>
      </c>
      <c r="Q224" t="s">
        <v>295</v>
      </c>
      <c r="R224" t="s">
        <v>274</v>
      </c>
      <c r="S224" t="s">
        <v>274</v>
      </c>
      <c r="T224" t="s">
        <v>83</v>
      </c>
      <c r="U224" t="s">
        <v>286</v>
      </c>
      <c r="V224" t="s">
        <v>83</v>
      </c>
      <c r="W224" t="s">
        <v>274</v>
      </c>
      <c r="X224" t="s">
        <v>313</v>
      </c>
      <c r="Y224">
        <v>5</v>
      </c>
      <c r="Z224">
        <v>8.5</v>
      </c>
      <c r="AA224" t="s">
        <v>266</v>
      </c>
      <c r="AB224" t="s">
        <v>78</v>
      </c>
      <c r="AC224">
        <v>9.5</v>
      </c>
      <c r="AD224">
        <v>2</v>
      </c>
      <c r="AE224">
        <v>1</v>
      </c>
      <c r="AF224">
        <v>2</v>
      </c>
      <c r="AG224">
        <v>1</v>
      </c>
      <c r="AH224">
        <v>1</v>
      </c>
      <c r="AI224" t="s">
        <v>274</v>
      </c>
      <c r="AJ224" t="s">
        <v>83</v>
      </c>
      <c r="AK224">
        <v>52</v>
      </c>
      <c r="AL224">
        <v>125</v>
      </c>
      <c r="AM224" t="s">
        <v>85</v>
      </c>
      <c r="AN224" t="s">
        <v>274</v>
      </c>
      <c r="AO224" t="s">
        <v>274</v>
      </c>
      <c r="AP224" t="s">
        <v>83</v>
      </c>
      <c r="AQ224">
        <v>9</v>
      </c>
      <c r="AR224">
        <v>8</v>
      </c>
      <c r="AS224">
        <v>9</v>
      </c>
      <c r="AT224" t="s">
        <v>336</v>
      </c>
      <c r="AU224">
        <v>62</v>
      </c>
      <c r="AV224" t="s">
        <v>274</v>
      </c>
      <c r="AW224" t="s">
        <v>274</v>
      </c>
      <c r="AX224">
        <v>1</v>
      </c>
      <c r="AY224" t="s">
        <v>83</v>
      </c>
      <c r="AZ224" t="s">
        <v>83</v>
      </c>
      <c r="BA224">
        <v>1</v>
      </c>
      <c r="BB224">
        <v>1</v>
      </c>
      <c r="BC224" t="s">
        <v>83</v>
      </c>
      <c r="BD224">
        <v>1</v>
      </c>
      <c r="BE224">
        <v>9</v>
      </c>
      <c r="BF224">
        <v>62</v>
      </c>
      <c r="BG224" t="s">
        <v>306</v>
      </c>
      <c r="BH224" t="s">
        <v>281</v>
      </c>
      <c r="BI224">
        <v>1</v>
      </c>
      <c r="BJ224">
        <v>1.5</v>
      </c>
      <c r="BK224">
        <v>9.6</v>
      </c>
      <c r="BL224">
        <v>1.2</v>
      </c>
    </row>
    <row r="225" spans="1:64" x14ac:dyDescent="0.25">
      <c r="A225" t="s">
        <v>515</v>
      </c>
      <c r="B225">
        <v>68</v>
      </c>
      <c r="C225" t="s">
        <v>460</v>
      </c>
      <c r="D225" t="s">
        <v>89</v>
      </c>
      <c r="E225" t="s">
        <v>90</v>
      </c>
      <c r="F225" t="s">
        <v>233</v>
      </c>
      <c r="G225" t="s">
        <v>234</v>
      </c>
      <c r="H225" t="s">
        <v>124</v>
      </c>
      <c r="I225" t="s">
        <v>461</v>
      </c>
      <c r="J225" t="s">
        <v>462</v>
      </c>
      <c r="K225" t="s">
        <v>290</v>
      </c>
      <c r="L225">
        <v>1</v>
      </c>
      <c r="M225">
        <v>5</v>
      </c>
      <c r="N225" t="s">
        <v>135</v>
      </c>
      <c r="O225" t="s">
        <v>75</v>
      </c>
      <c r="P225" t="s">
        <v>454</v>
      </c>
      <c r="Q225" t="s">
        <v>473</v>
      </c>
      <c r="R225" t="s">
        <v>83</v>
      </c>
      <c r="S225" t="s">
        <v>83</v>
      </c>
      <c r="T225" t="s">
        <v>83</v>
      </c>
      <c r="U225" t="s">
        <v>286</v>
      </c>
      <c r="V225" t="s">
        <v>83</v>
      </c>
      <c r="W225" t="s">
        <v>83</v>
      </c>
      <c r="X225" t="s">
        <v>516</v>
      </c>
      <c r="Y225">
        <v>4</v>
      </c>
      <c r="Z225">
        <v>9</v>
      </c>
      <c r="AA225" t="s">
        <v>336</v>
      </c>
      <c r="AB225" t="s">
        <v>78</v>
      </c>
      <c r="AC225">
        <v>0</v>
      </c>
      <c r="AD225">
        <v>1</v>
      </c>
      <c r="AE225">
        <v>1</v>
      </c>
      <c r="AF225">
        <v>1</v>
      </c>
      <c r="AG225">
        <v>1</v>
      </c>
      <c r="AH225">
        <v>1</v>
      </c>
      <c r="AI225" t="s">
        <v>83</v>
      </c>
      <c r="AJ225" t="s">
        <v>83</v>
      </c>
      <c r="AK225">
        <v>60</v>
      </c>
      <c r="AL225">
        <v>140</v>
      </c>
      <c r="AM225" t="s">
        <v>85</v>
      </c>
      <c r="AN225" t="s">
        <v>83</v>
      </c>
      <c r="AO225" t="s">
        <v>83</v>
      </c>
      <c r="AP225" t="s">
        <v>83</v>
      </c>
      <c r="AQ225">
        <v>10</v>
      </c>
      <c r="AR225">
        <v>10</v>
      </c>
      <c r="AS225">
        <v>10</v>
      </c>
      <c r="AT225" t="s">
        <v>475</v>
      </c>
      <c r="AU225">
        <v>72</v>
      </c>
      <c r="AV225" t="s">
        <v>83</v>
      </c>
      <c r="AW225" t="s">
        <v>83</v>
      </c>
      <c r="AX225">
        <v>1</v>
      </c>
      <c r="AY225" t="s">
        <v>83</v>
      </c>
      <c r="AZ225" t="s">
        <v>83</v>
      </c>
      <c r="BA225">
        <v>1</v>
      </c>
      <c r="BB225">
        <v>1</v>
      </c>
      <c r="BC225" t="s">
        <v>83</v>
      </c>
      <c r="BD225">
        <v>0</v>
      </c>
      <c r="BE225">
        <v>10</v>
      </c>
      <c r="BF225">
        <v>82</v>
      </c>
      <c r="BG225" t="s">
        <v>306</v>
      </c>
      <c r="BH225" t="s">
        <v>281</v>
      </c>
      <c r="BI225">
        <v>0.8</v>
      </c>
      <c r="BJ225">
        <v>1.2</v>
      </c>
      <c r="BK225">
        <v>9.8000000000000007</v>
      </c>
      <c r="BL225">
        <v>0.8</v>
      </c>
    </row>
    <row r="226" spans="1:64" x14ac:dyDescent="0.25">
      <c r="A226" t="s">
        <v>517</v>
      </c>
      <c r="B226">
        <v>54</v>
      </c>
      <c r="C226" t="s">
        <v>453</v>
      </c>
      <c r="D226" t="s">
        <v>66</v>
      </c>
      <c r="E226" t="s">
        <v>67</v>
      </c>
      <c r="F226" t="s">
        <v>133</v>
      </c>
      <c r="G226" t="s">
        <v>134</v>
      </c>
      <c r="H226" t="s">
        <v>124</v>
      </c>
      <c r="I226" t="s">
        <v>166</v>
      </c>
      <c r="J226" t="s">
        <v>72</v>
      </c>
      <c r="K226" t="s">
        <v>290</v>
      </c>
      <c r="L226">
        <v>2</v>
      </c>
      <c r="M226">
        <v>9</v>
      </c>
      <c r="N226" t="s">
        <v>135</v>
      </c>
      <c r="O226" t="s">
        <v>75</v>
      </c>
      <c r="P226" t="s">
        <v>273</v>
      </c>
      <c r="Q226" t="s">
        <v>295</v>
      </c>
      <c r="R226" t="s">
        <v>274</v>
      </c>
      <c r="S226" t="s">
        <v>274</v>
      </c>
      <c r="T226" t="s">
        <v>274</v>
      </c>
      <c r="U226" t="s">
        <v>286</v>
      </c>
      <c r="V226" t="s">
        <v>274</v>
      </c>
      <c r="W226" t="s">
        <v>274</v>
      </c>
      <c r="X226" t="s">
        <v>498</v>
      </c>
      <c r="Y226">
        <v>5.5</v>
      </c>
      <c r="Z226">
        <v>8</v>
      </c>
      <c r="AA226" t="s">
        <v>266</v>
      </c>
      <c r="AB226" t="s">
        <v>275</v>
      </c>
      <c r="AC226">
        <v>8.5</v>
      </c>
      <c r="AD226">
        <v>2</v>
      </c>
      <c r="AE226">
        <v>1</v>
      </c>
      <c r="AF226">
        <v>2</v>
      </c>
      <c r="AG226">
        <v>2</v>
      </c>
      <c r="AH226">
        <v>1</v>
      </c>
      <c r="AI226" t="s">
        <v>274</v>
      </c>
      <c r="AJ226" t="s">
        <v>274</v>
      </c>
      <c r="AK226">
        <v>48</v>
      </c>
      <c r="AL226">
        <v>115</v>
      </c>
      <c r="AM226" t="s">
        <v>85</v>
      </c>
      <c r="AN226" t="s">
        <v>274</v>
      </c>
      <c r="AO226" t="s">
        <v>274</v>
      </c>
      <c r="AP226" t="s">
        <v>274</v>
      </c>
      <c r="AQ226">
        <v>9</v>
      </c>
      <c r="AR226">
        <v>8</v>
      </c>
      <c r="AS226">
        <v>9</v>
      </c>
      <c r="AT226" t="s">
        <v>266</v>
      </c>
      <c r="AU226">
        <v>55</v>
      </c>
      <c r="AV226" t="s">
        <v>274</v>
      </c>
      <c r="AW226" t="s">
        <v>274</v>
      </c>
      <c r="AX226">
        <v>1</v>
      </c>
      <c r="AY226" t="s">
        <v>83</v>
      </c>
      <c r="AZ226" t="s">
        <v>274</v>
      </c>
      <c r="BA226">
        <v>1</v>
      </c>
      <c r="BB226">
        <v>1</v>
      </c>
      <c r="BC226" t="s">
        <v>83</v>
      </c>
      <c r="BD226">
        <v>1</v>
      </c>
      <c r="BE226">
        <v>8</v>
      </c>
      <c r="BF226">
        <v>52</v>
      </c>
      <c r="BG226" t="s">
        <v>306</v>
      </c>
      <c r="BH226" t="s">
        <v>281</v>
      </c>
      <c r="BI226">
        <v>1.5</v>
      </c>
      <c r="BJ226">
        <v>2</v>
      </c>
      <c r="BK226">
        <v>9.1999999999999993</v>
      </c>
      <c r="BL226">
        <v>1.8</v>
      </c>
    </row>
    <row r="227" spans="1:64" x14ac:dyDescent="0.25">
      <c r="A227" t="s">
        <v>518</v>
      </c>
      <c r="B227">
        <v>71</v>
      </c>
      <c r="C227" t="s">
        <v>460</v>
      </c>
      <c r="D227" t="s">
        <v>66</v>
      </c>
      <c r="E227" t="s">
        <v>114</v>
      </c>
      <c r="F227" t="s">
        <v>244</v>
      </c>
      <c r="G227" t="s">
        <v>245</v>
      </c>
      <c r="H227" t="s">
        <v>124</v>
      </c>
      <c r="I227" t="s">
        <v>461</v>
      </c>
      <c r="J227" t="s">
        <v>462</v>
      </c>
      <c r="K227" t="s">
        <v>290</v>
      </c>
      <c r="L227">
        <v>1</v>
      </c>
      <c r="M227">
        <v>5</v>
      </c>
      <c r="N227" t="s">
        <v>135</v>
      </c>
      <c r="O227" t="s">
        <v>463</v>
      </c>
      <c r="P227" t="s">
        <v>454</v>
      </c>
      <c r="Q227" t="s">
        <v>473</v>
      </c>
      <c r="R227" t="s">
        <v>83</v>
      </c>
      <c r="S227" t="s">
        <v>83</v>
      </c>
      <c r="T227" t="s">
        <v>83</v>
      </c>
      <c r="U227" t="s">
        <v>286</v>
      </c>
      <c r="V227" t="s">
        <v>83</v>
      </c>
      <c r="W227" t="s">
        <v>83</v>
      </c>
      <c r="X227" t="s">
        <v>470</v>
      </c>
      <c r="Y227">
        <v>4</v>
      </c>
      <c r="Z227">
        <v>9</v>
      </c>
      <c r="AA227" t="s">
        <v>336</v>
      </c>
      <c r="AB227" t="s">
        <v>78</v>
      </c>
      <c r="AC227">
        <v>0</v>
      </c>
      <c r="AD227">
        <v>1</v>
      </c>
      <c r="AE227">
        <v>1</v>
      </c>
      <c r="AF227">
        <v>1</v>
      </c>
      <c r="AG227">
        <v>1</v>
      </c>
      <c r="AH227">
        <v>1</v>
      </c>
      <c r="AI227" t="s">
        <v>83</v>
      </c>
      <c r="AJ227" t="s">
        <v>83</v>
      </c>
      <c r="AK227">
        <v>60</v>
      </c>
      <c r="AL227">
        <v>140</v>
      </c>
      <c r="AM227" t="s">
        <v>85</v>
      </c>
      <c r="AN227" t="s">
        <v>83</v>
      </c>
      <c r="AO227" t="s">
        <v>83</v>
      </c>
      <c r="AP227" t="s">
        <v>83</v>
      </c>
      <c r="AQ227">
        <v>10</v>
      </c>
      <c r="AR227">
        <v>9</v>
      </c>
      <c r="AS227">
        <v>10</v>
      </c>
      <c r="AT227" t="s">
        <v>475</v>
      </c>
      <c r="AU227">
        <v>70</v>
      </c>
      <c r="AV227" t="s">
        <v>83</v>
      </c>
      <c r="AW227" t="s">
        <v>83</v>
      </c>
      <c r="AX227">
        <v>1</v>
      </c>
      <c r="AY227" t="s">
        <v>83</v>
      </c>
      <c r="AZ227" t="s">
        <v>83</v>
      </c>
      <c r="BA227">
        <v>1</v>
      </c>
      <c r="BB227">
        <v>1</v>
      </c>
      <c r="BC227" t="s">
        <v>83</v>
      </c>
      <c r="BD227">
        <v>0</v>
      </c>
      <c r="BE227">
        <v>10</v>
      </c>
      <c r="BF227">
        <v>82</v>
      </c>
      <c r="BG227" t="s">
        <v>306</v>
      </c>
      <c r="BH227" t="s">
        <v>281</v>
      </c>
      <c r="BI227">
        <v>0.8</v>
      </c>
      <c r="BJ227">
        <v>1.2</v>
      </c>
      <c r="BK227">
        <v>9.8000000000000007</v>
      </c>
      <c r="BL227">
        <v>0.8</v>
      </c>
    </row>
    <row r="228" spans="1:64" x14ac:dyDescent="0.25">
      <c r="A228" t="s">
        <v>519</v>
      </c>
      <c r="B228">
        <v>59</v>
      </c>
      <c r="C228" t="s">
        <v>453</v>
      </c>
      <c r="D228" t="s">
        <v>89</v>
      </c>
      <c r="E228" t="s">
        <v>97</v>
      </c>
      <c r="F228" t="s">
        <v>225</v>
      </c>
      <c r="G228" t="s">
        <v>226</v>
      </c>
      <c r="H228" t="s">
        <v>124</v>
      </c>
      <c r="I228" t="s">
        <v>166</v>
      </c>
      <c r="J228" t="s">
        <v>285</v>
      </c>
      <c r="K228" t="s">
        <v>290</v>
      </c>
      <c r="L228">
        <v>2</v>
      </c>
      <c r="M228">
        <v>8</v>
      </c>
      <c r="N228" t="s">
        <v>135</v>
      </c>
      <c r="O228" t="s">
        <v>75</v>
      </c>
      <c r="P228" t="s">
        <v>273</v>
      </c>
      <c r="Q228" t="s">
        <v>295</v>
      </c>
      <c r="R228" t="s">
        <v>274</v>
      </c>
      <c r="S228" t="s">
        <v>274</v>
      </c>
      <c r="T228" t="s">
        <v>274</v>
      </c>
      <c r="U228" t="s">
        <v>286</v>
      </c>
      <c r="V228" t="s">
        <v>274</v>
      </c>
      <c r="W228" t="s">
        <v>274</v>
      </c>
      <c r="X228" t="s">
        <v>457</v>
      </c>
      <c r="Y228">
        <v>5.5</v>
      </c>
      <c r="Z228">
        <v>8</v>
      </c>
      <c r="AA228" t="s">
        <v>266</v>
      </c>
      <c r="AB228" t="s">
        <v>275</v>
      </c>
      <c r="AC228">
        <v>8.5</v>
      </c>
      <c r="AD228">
        <v>2</v>
      </c>
      <c r="AE228">
        <v>1</v>
      </c>
      <c r="AF228">
        <v>2</v>
      </c>
      <c r="AG228">
        <v>2</v>
      </c>
      <c r="AH228">
        <v>1</v>
      </c>
      <c r="AI228" t="s">
        <v>274</v>
      </c>
      <c r="AJ228" t="s">
        <v>274</v>
      </c>
      <c r="AK228">
        <v>48</v>
      </c>
      <c r="AL228">
        <v>115</v>
      </c>
      <c r="AM228" t="s">
        <v>85</v>
      </c>
      <c r="AN228" t="s">
        <v>274</v>
      </c>
      <c r="AO228" t="s">
        <v>274</v>
      </c>
      <c r="AP228" t="s">
        <v>274</v>
      </c>
      <c r="AQ228">
        <v>9</v>
      </c>
      <c r="AR228">
        <v>8</v>
      </c>
      <c r="AS228">
        <v>9</v>
      </c>
      <c r="AT228" t="s">
        <v>266</v>
      </c>
      <c r="AU228">
        <v>55</v>
      </c>
      <c r="AV228" t="s">
        <v>274</v>
      </c>
      <c r="AW228" t="s">
        <v>274</v>
      </c>
      <c r="AX228">
        <v>1</v>
      </c>
      <c r="AY228" t="s">
        <v>83</v>
      </c>
      <c r="AZ228" t="s">
        <v>274</v>
      </c>
      <c r="BA228">
        <v>1</v>
      </c>
      <c r="BB228">
        <v>1</v>
      </c>
      <c r="BC228" t="s">
        <v>83</v>
      </c>
      <c r="BD228">
        <v>1</v>
      </c>
      <c r="BE228">
        <v>8</v>
      </c>
      <c r="BF228">
        <v>52</v>
      </c>
      <c r="BG228" t="s">
        <v>306</v>
      </c>
      <c r="BH228" t="s">
        <v>281</v>
      </c>
      <c r="BI228">
        <v>1.5</v>
      </c>
      <c r="BJ228">
        <v>2</v>
      </c>
      <c r="BK228">
        <v>9.1999999999999993</v>
      </c>
      <c r="BL228">
        <v>1.8</v>
      </c>
    </row>
    <row r="229" spans="1:64" x14ac:dyDescent="0.25">
      <c r="A229" t="s">
        <v>520</v>
      </c>
      <c r="B229">
        <v>66</v>
      </c>
      <c r="C229" t="s">
        <v>460</v>
      </c>
      <c r="D229" t="s">
        <v>89</v>
      </c>
      <c r="E229" t="s">
        <v>107</v>
      </c>
      <c r="F229" t="s">
        <v>108</v>
      </c>
      <c r="G229" t="s">
        <v>109</v>
      </c>
      <c r="H229" t="s">
        <v>279</v>
      </c>
      <c r="I229" t="s">
        <v>461</v>
      </c>
      <c r="J229" t="s">
        <v>462</v>
      </c>
      <c r="K229" t="s">
        <v>290</v>
      </c>
      <c r="L229">
        <v>1</v>
      </c>
      <c r="M229">
        <v>8</v>
      </c>
      <c r="N229" t="s">
        <v>75</v>
      </c>
      <c r="O229" t="s">
        <v>135</v>
      </c>
      <c r="P229" t="s">
        <v>454</v>
      </c>
      <c r="Q229" t="s">
        <v>473</v>
      </c>
      <c r="R229" t="s">
        <v>83</v>
      </c>
      <c r="S229" t="s">
        <v>83</v>
      </c>
      <c r="T229" t="s">
        <v>83</v>
      </c>
      <c r="U229" t="s">
        <v>286</v>
      </c>
      <c r="V229" t="s">
        <v>83</v>
      </c>
      <c r="W229" t="s">
        <v>83</v>
      </c>
      <c r="X229" t="s">
        <v>496</v>
      </c>
      <c r="Y229">
        <v>4</v>
      </c>
      <c r="Z229">
        <v>9</v>
      </c>
      <c r="AA229" t="s">
        <v>336</v>
      </c>
      <c r="AB229" t="s">
        <v>78</v>
      </c>
      <c r="AC229">
        <v>0</v>
      </c>
      <c r="AD229">
        <v>1</v>
      </c>
      <c r="AE229">
        <v>1</v>
      </c>
      <c r="AF229">
        <v>1</v>
      </c>
      <c r="AG229">
        <v>1</v>
      </c>
      <c r="AH229">
        <v>1</v>
      </c>
      <c r="AI229" t="s">
        <v>83</v>
      </c>
      <c r="AJ229" t="s">
        <v>83</v>
      </c>
      <c r="AK229">
        <v>62</v>
      </c>
      <c r="AL229">
        <v>142</v>
      </c>
      <c r="AM229" t="s">
        <v>85</v>
      </c>
      <c r="AN229" t="s">
        <v>83</v>
      </c>
      <c r="AO229" t="s">
        <v>83</v>
      </c>
      <c r="AP229" t="s">
        <v>83</v>
      </c>
      <c r="AQ229">
        <v>10</v>
      </c>
      <c r="AR229">
        <v>10</v>
      </c>
      <c r="AS229">
        <v>10</v>
      </c>
      <c r="AT229" t="s">
        <v>475</v>
      </c>
      <c r="AU229">
        <v>72</v>
      </c>
      <c r="AV229" t="s">
        <v>83</v>
      </c>
      <c r="AW229" t="s">
        <v>83</v>
      </c>
      <c r="AX229">
        <v>1</v>
      </c>
      <c r="AY229" t="s">
        <v>83</v>
      </c>
      <c r="AZ229" t="s">
        <v>83</v>
      </c>
      <c r="BA229">
        <v>1</v>
      </c>
      <c r="BB229">
        <v>1</v>
      </c>
      <c r="BC229" t="s">
        <v>83</v>
      </c>
      <c r="BD229">
        <v>0</v>
      </c>
      <c r="BE229">
        <v>10</v>
      </c>
      <c r="BF229">
        <v>84</v>
      </c>
      <c r="BG229" t="s">
        <v>306</v>
      </c>
      <c r="BH229" t="s">
        <v>281</v>
      </c>
      <c r="BI229">
        <v>0.8</v>
      </c>
      <c r="BJ229">
        <v>1.2</v>
      </c>
      <c r="BK229">
        <v>9.8000000000000007</v>
      </c>
      <c r="BL229">
        <v>0.8</v>
      </c>
    </row>
    <row r="230" spans="1:64" x14ac:dyDescent="0.25">
      <c r="A230" t="s">
        <v>521</v>
      </c>
      <c r="B230">
        <v>55</v>
      </c>
      <c r="C230" t="s">
        <v>453</v>
      </c>
      <c r="D230" t="s">
        <v>66</v>
      </c>
      <c r="E230" t="s">
        <v>90</v>
      </c>
      <c r="F230" t="s">
        <v>240</v>
      </c>
      <c r="G230" t="s">
        <v>241</v>
      </c>
      <c r="H230" t="s">
        <v>124</v>
      </c>
      <c r="I230" t="s">
        <v>166</v>
      </c>
      <c r="J230" t="s">
        <v>179</v>
      </c>
      <c r="K230" t="s">
        <v>290</v>
      </c>
      <c r="L230">
        <v>2.5</v>
      </c>
      <c r="M230">
        <v>9</v>
      </c>
      <c r="N230" t="s">
        <v>135</v>
      </c>
      <c r="O230" t="s">
        <v>74</v>
      </c>
      <c r="P230" t="s">
        <v>273</v>
      </c>
      <c r="Q230" t="s">
        <v>295</v>
      </c>
      <c r="R230" t="s">
        <v>274</v>
      </c>
      <c r="S230" t="s">
        <v>274</v>
      </c>
      <c r="T230" t="s">
        <v>274</v>
      </c>
      <c r="U230" t="s">
        <v>286</v>
      </c>
      <c r="V230" t="s">
        <v>274</v>
      </c>
      <c r="W230" t="s">
        <v>274</v>
      </c>
      <c r="X230" t="s">
        <v>522</v>
      </c>
      <c r="Y230">
        <v>6</v>
      </c>
      <c r="Z230">
        <v>8</v>
      </c>
      <c r="AA230" t="s">
        <v>266</v>
      </c>
      <c r="AB230" t="s">
        <v>103</v>
      </c>
      <c r="AC230">
        <v>8</v>
      </c>
      <c r="AD230">
        <v>2</v>
      </c>
      <c r="AE230">
        <v>1</v>
      </c>
      <c r="AF230">
        <v>2</v>
      </c>
      <c r="AG230">
        <v>2</v>
      </c>
      <c r="AH230">
        <v>1</v>
      </c>
      <c r="AI230" t="s">
        <v>274</v>
      </c>
      <c r="AJ230" t="s">
        <v>274</v>
      </c>
      <c r="AK230">
        <v>46</v>
      </c>
      <c r="AL230">
        <v>112</v>
      </c>
      <c r="AM230" t="s">
        <v>85</v>
      </c>
      <c r="AN230" t="s">
        <v>274</v>
      </c>
      <c r="AO230" t="s">
        <v>274</v>
      </c>
      <c r="AP230" t="s">
        <v>274</v>
      </c>
      <c r="AQ230">
        <v>9</v>
      </c>
      <c r="AR230">
        <v>8</v>
      </c>
      <c r="AS230">
        <v>9</v>
      </c>
      <c r="AT230" t="s">
        <v>266</v>
      </c>
      <c r="AU230">
        <v>54</v>
      </c>
      <c r="AV230" t="s">
        <v>274</v>
      </c>
      <c r="AW230" t="s">
        <v>274</v>
      </c>
      <c r="AX230">
        <v>2</v>
      </c>
      <c r="AY230" t="s">
        <v>274</v>
      </c>
      <c r="AZ230" t="s">
        <v>274</v>
      </c>
      <c r="BA230">
        <v>2</v>
      </c>
      <c r="BB230">
        <v>2</v>
      </c>
      <c r="BC230" t="s">
        <v>274</v>
      </c>
      <c r="BD230">
        <v>2</v>
      </c>
      <c r="BE230">
        <v>8</v>
      </c>
      <c r="BF230">
        <v>50</v>
      </c>
      <c r="BG230" t="s">
        <v>86</v>
      </c>
      <c r="BH230" t="s">
        <v>281</v>
      </c>
      <c r="BI230">
        <v>1.8</v>
      </c>
      <c r="BJ230">
        <v>2.4</v>
      </c>
      <c r="BK230">
        <v>8.8000000000000007</v>
      </c>
      <c r="BL230">
        <v>2.2000000000000002</v>
      </c>
    </row>
    <row r="231" spans="1:64" x14ac:dyDescent="0.25">
      <c r="A231" t="s">
        <v>523</v>
      </c>
      <c r="B231">
        <v>63</v>
      </c>
      <c r="C231" t="s">
        <v>460</v>
      </c>
      <c r="D231" t="s">
        <v>66</v>
      </c>
      <c r="E231" t="s">
        <v>67</v>
      </c>
      <c r="F231" t="s">
        <v>68</v>
      </c>
      <c r="G231" t="s">
        <v>69</v>
      </c>
      <c r="H231" t="s">
        <v>124</v>
      </c>
      <c r="I231" t="s">
        <v>461</v>
      </c>
      <c r="J231" t="s">
        <v>462</v>
      </c>
      <c r="K231" t="s">
        <v>290</v>
      </c>
      <c r="L231">
        <v>1.5</v>
      </c>
      <c r="M231">
        <v>8</v>
      </c>
      <c r="N231" t="s">
        <v>135</v>
      </c>
      <c r="O231" t="s">
        <v>463</v>
      </c>
      <c r="P231" t="s">
        <v>454</v>
      </c>
      <c r="Q231" t="s">
        <v>295</v>
      </c>
      <c r="R231" t="s">
        <v>83</v>
      </c>
      <c r="S231" t="s">
        <v>83</v>
      </c>
      <c r="T231" t="s">
        <v>83</v>
      </c>
      <c r="U231" t="s">
        <v>286</v>
      </c>
      <c r="V231" t="s">
        <v>83</v>
      </c>
      <c r="W231" t="s">
        <v>83</v>
      </c>
      <c r="X231" t="s">
        <v>470</v>
      </c>
      <c r="Y231">
        <v>4</v>
      </c>
      <c r="Z231">
        <v>8.5</v>
      </c>
      <c r="AA231" t="s">
        <v>336</v>
      </c>
      <c r="AB231" t="s">
        <v>78</v>
      </c>
      <c r="AC231">
        <v>0</v>
      </c>
      <c r="AD231">
        <v>2</v>
      </c>
      <c r="AE231">
        <v>1</v>
      </c>
      <c r="AF231">
        <v>2</v>
      </c>
      <c r="AG231">
        <v>1</v>
      </c>
      <c r="AH231">
        <v>1</v>
      </c>
      <c r="AI231" t="s">
        <v>83</v>
      </c>
      <c r="AJ231" t="s">
        <v>83</v>
      </c>
      <c r="AK231">
        <v>55</v>
      </c>
      <c r="AL231">
        <v>130</v>
      </c>
      <c r="AM231" t="s">
        <v>85</v>
      </c>
      <c r="AN231" t="s">
        <v>83</v>
      </c>
      <c r="AO231" t="s">
        <v>274</v>
      </c>
      <c r="AP231" t="s">
        <v>83</v>
      </c>
      <c r="AQ231">
        <v>9</v>
      </c>
      <c r="AR231">
        <v>9</v>
      </c>
      <c r="AS231">
        <v>9</v>
      </c>
      <c r="AT231" t="s">
        <v>336</v>
      </c>
      <c r="AU231">
        <v>68</v>
      </c>
      <c r="AV231" t="s">
        <v>274</v>
      </c>
      <c r="AW231" t="s">
        <v>83</v>
      </c>
      <c r="AX231">
        <v>1</v>
      </c>
      <c r="AY231" t="s">
        <v>83</v>
      </c>
      <c r="AZ231" t="s">
        <v>83</v>
      </c>
      <c r="BA231">
        <v>1</v>
      </c>
      <c r="BB231">
        <v>1</v>
      </c>
      <c r="BC231" t="s">
        <v>83</v>
      </c>
      <c r="BD231">
        <v>1</v>
      </c>
      <c r="BE231">
        <v>9</v>
      </c>
      <c r="BF231">
        <v>76</v>
      </c>
      <c r="BG231" t="s">
        <v>306</v>
      </c>
      <c r="BH231" t="s">
        <v>281</v>
      </c>
      <c r="BI231">
        <v>1</v>
      </c>
      <c r="BJ231">
        <v>1.4</v>
      </c>
      <c r="BK231">
        <v>9.6999999999999993</v>
      </c>
      <c r="BL231">
        <v>1</v>
      </c>
    </row>
    <row r="232" spans="1:64" x14ac:dyDescent="0.25">
      <c r="A232" t="s">
        <v>524</v>
      </c>
      <c r="B232">
        <v>50</v>
      </c>
      <c r="C232" t="s">
        <v>453</v>
      </c>
      <c r="D232" t="s">
        <v>89</v>
      </c>
      <c r="E232" t="s">
        <v>107</v>
      </c>
      <c r="F232" t="s">
        <v>190</v>
      </c>
      <c r="G232" t="s">
        <v>191</v>
      </c>
      <c r="H232" t="s">
        <v>279</v>
      </c>
      <c r="I232" t="s">
        <v>166</v>
      </c>
      <c r="J232" t="s">
        <v>242</v>
      </c>
      <c r="K232" t="s">
        <v>290</v>
      </c>
      <c r="L232">
        <v>2</v>
      </c>
      <c r="M232">
        <v>12</v>
      </c>
      <c r="N232" t="s">
        <v>272</v>
      </c>
      <c r="O232" t="s">
        <v>130</v>
      </c>
      <c r="P232" t="s">
        <v>273</v>
      </c>
      <c r="Q232" t="s">
        <v>295</v>
      </c>
      <c r="R232" t="s">
        <v>274</v>
      </c>
      <c r="S232" t="s">
        <v>274</v>
      </c>
      <c r="T232" t="s">
        <v>83</v>
      </c>
      <c r="U232" t="s">
        <v>286</v>
      </c>
      <c r="V232" t="s">
        <v>83</v>
      </c>
      <c r="W232" t="s">
        <v>274</v>
      </c>
      <c r="X232" t="s">
        <v>318</v>
      </c>
      <c r="Y232">
        <v>5.5</v>
      </c>
      <c r="Z232">
        <v>8</v>
      </c>
      <c r="AA232" t="s">
        <v>266</v>
      </c>
      <c r="AB232" t="s">
        <v>78</v>
      </c>
      <c r="AC232">
        <v>9.5</v>
      </c>
      <c r="AD232">
        <v>2</v>
      </c>
      <c r="AE232">
        <v>1</v>
      </c>
      <c r="AF232">
        <v>2</v>
      </c>
      <c r="AG232">
        <v>2</v>
      </c>
      <c r="AH232">
        <v>1</v>
      </c>
      <c r="AI232" t="s">
        <v>274</v>
      </c>
      <c r="AJ232" t="s">
        <v>83</v>
      </c>
      <c r="AK232">
        <v>50</v>
      </c>
      <c r="AL232">
        <v>122</v>
      </c>
      <c r="AM232" t="s">
        <v>85</v>
      </c>
      <c r="AN232" t="s">
        <v>274</v>
      </c>
      <c r="AO232" t="s">
        <v>274</v>
      </c>
      <c r="AP232" t="s">
        <v>83</v>
      </c>
      <c r="AQ232">
        <v>9</v>
      </c>
      <c r="AR232">
        <v>8</v>
      </c>
      <c r="AS232">
        <v>9</v>
      </c>
      <c r="AT232" t="s">
        <v>336</v>
      </c>
      <c r="AU232">
        <v>58</v>
      </c>
      <c r="AV232" t="s">
        <v>274</v>
      </c>
      <c r="AW232" t="s">
        <v>274</v>
      </c>
      <c r="AX232">
        <v>1</v>
      </c>
      <c r="AY232" t="s">
        <v>83</v>
      </c>
      <c r="AZ232" t="s">
        <v>83</v>
      </c>
      <c r="BA232">
        <v>1</v>
      </c>
      <c r="BB232">
        <v>1</v>
      </c>
      <c r="BC232" t="s">
        <v>83</v>
      </c>
      <c r="BD232">
        <v>1</v>
      </c>
      <c r="BE232">
        <v>8</v>
      </c>
      <c r="BF232">
        <v>55</v>
      </c>
      <c r="BG232" t="s">
        <v>306</v>
      </c>
      <c r="BH232" t="s">
        <v>281</v>
      </c>
      <c r="BI232">
        <v>1.5</v>
      </c>
      <c r="BJ232">
        <v>2</v>
      </c>
      <c r="BK232">
        <v>9.1999999999999993</v>
      </c>
      <c r="BL232">
        <v>1.8</v>
      </c>
    </row>
    <row r="233" spans="1:64" x14ac:dyDescent="0.25">
      <c r="A233" t="s">
        <v>525</v>
      </c>
      <c r="B233">
        <v>74</v>
      </c>
      <c r="C233" t="s">
        <v>460</v>
      </c>
      <c r="D233" t="s">
        <v>89</v>
      </c>
      <c r="E233" t="s">
        <v>97</v>
      </c>
      <c r="F233" t="s">
        <v>163</v>
      </c>
      <c r="G233" t="s">
        <v>164</v>
      </c>
      <c r="H233" t="s">
        <v>124</v>
      </c>
      <c r="I233" t="s">
        <v>461</v>
      </c>
      <c r="J233" t="s">
        <v>462</v>
      </c>
      <c r="K233" t="s">
        <v>290</v>
      </c>
      <c r="L233">
        <v>0.5</v>
      </c>
      <c r="M233">
        <v>4</v>
      </c>
      <c r="N233" t="s">
        <v>135</v>
      </c>
      <c r="O233" t="s">
        <v>463</v>
      </c>
      <c r="P233" t="s">
        <v>486</v>
      </c>
      <c r="Q233" t="s">
        <v>473</v>
      </c>
      <c r="R233" t="s">
        <v>83</v>
      </c>
      <c r="S233" t="s">
        <v>83</v>
      </c>
      <c r="T233" t="s">
        <v>83</v>
      </c>
      <c r="U233" t="s">
        <v>286</v>
      </c>
      <c r="V233" t="s">
        <v>83</v>
      </c>
      <c r="W233" t="s">
        <v>83</v>
      </c>
      <c r="X233" t="s">
        <v>464</v>
      </c>
      <c r="Y233">
        <v>3</v>
      </c>
      <c r="Z233">
        <v>9</v>
      </c>
      <c r="AA233" t="s">
        <v>336</v>
      </c>
      <c r="AB233" t="s">
        <v>78</v>
      </c>
      <c r="AC233">
        <v>0</v>
      </c>
      <c r="AD233">
        <v>1</v>
      </c>
      <c r="AE233">
        <v>1</v>
      </c>
      <c r="AF233">
        <v>1</v>
      </c>
      <c r="AG233">
        <v>1</v>
      </c>
      <c r="AH233">
        <v>1</v>
      </c>
      <c r="AI233" t="s">
        <v>83</v>
      </c>
      <c r="AJ233" t="s">
        <v>83</v>
      </c>
      <c r="AK233">
        <v>65</v>
      </c>
      <c r="AL233">
        <v>150</v>
      </c>
      <c r="AM233" t="s">
        <v>85</v>
      </c>
      <c r="AN233" t="s">
        <v>83</v>
      </c>
      <c r="AO233" t="s">
        <v>83</v>
      </c>
      <c r="AP233" t="s">
        <v>83</v>
      </c>
      <c r="AQ233">
        <v>10</v>
      </c>
      <c r="AR233">
        <v>10</v>
      </c>
      <c r="AS233">
        <v>10</v>
      </c>
      <c r="AT233" t="s">
        <v>475</v>
      </c>
      <c r="AU233">
        <v>72</v>
      </c>
      <c r="AV233" t="s">
        <v>83</v>
      </c>
      <c r="AW233" t="s">
        <v>83</v>
      </c>
      <c r="AX233">
        <v>1</v>
      </c>
      <c r="AY233" t="s">
        <v>83</v>
      </c>
      <c r="AZ233" t="s">
        <v>83</v>
      </c>
      <c r="BA233">
        <v>1</v>
      </c>
      <c r="BB233">
        <v>1</v>
      </c>
      <c r="BC233" t="s">
        <v>83</v>
      </c>
      <c r="BD233">
        <v>0</v>
      </c>
      <c r="BE233">
        <v>10</v>
      </c>
      <c r="BF233">
        <v>90</v>
      </c>
      <c r="BG233" t="s">
        <v>306</v>
      </c>
      <c r="BH233" t="s">
        <v>281</v>
      </c>
      <c r="BI233">
        <v>0.5</v>
      </c>
      <c r="BJ233">
        <v>1</v>
      </c>
      <c r="BK233">
        <v>9.9</v>
      </c>
      <c r="BL233">
        <v>0.5</v>
      </c>
    </row>
    <row r="234" spans="1:64" x14ac:dyDescent="0.25">
      <c r="A234" t="s">
        <v>526</v>
      </c>
      <c r="B234">
        <v>52</v>
      </c>
      <c r="C234" t="s">
        <v>453</v>
      </c>
      <c r="D234" t="s">
        <v>66</v>
      </c>
      <c r="E234" t="s">
        <v>114</v>
      </c>
      <c r="F234" t="s">
        <v>228</v>
      </c>
      <c r="G234" t="s">
        <v>229</v>
      </c>
      <c r="H234" t="s">
        <v>124</v>
      </c>
      <c r="I234" t="s">
        <v>166</v>
      </c>
      <c r="J234" t="s">
        <v>72</v>
      </c>
      <c r="K234" t="s">
        <v>290</v>
      </c>
      <c r="L234">
        <v>2</v>
      </c>
      <c r="M234">
        <v>9</v>
      </c>
      <c r="N234" t="s">
        <v>135</v>
      </c>
      <c r="O234" t="s">
        <v>75</v>
      </c>
      <c r="P234" t="s">
        <v>273</v>
      </c>
      <c r="Q234" t="s">
        <v>295</v>
      </c>
      <c r="R234" t="s">
        <v>274</v>
      </c>
      <c r="S234" t="s">
        <v>274</v>
      </c>
      <c r="T234" t="s">
        <v>274</v>
      </c>
      <c r="U234" t="s">
        <v>286</v>
      </c>
      <c r="V234" t="s">
        <v>274</v>
      </c>
      <c r="W234" t="s">
        <v>274</v>
      </c>
      <c r="X234" t="s">
        <v>498</v>
      </c>
      <c r="Y234">
        <v>5.5</v>
      </c>
      <c r="Z234">
        <v>8</v>
      </c>
      <c r="AA234" t="s">
        <v>266</v>
      </c>
      <c r="AB234" t="s">
        <v>275</v>
      </c>
      <c r="AC234">
        <v>8</v>
      </c>
      <c r="AD234">
        <v>2</v>
      </c>
      <c r="AE234">
        <v>1</v>
      </c>
      <c r="AF234">
        <v>2</v>
      </c>
      <c r="AG234">
        <v>2</v>
      </c>
      <c r="AH234">
        <v>1</v>
      </c>
      <c r="AI234" t="s">
        <v>274</v>
      </c>
      <c r="AJ234" t="s">
        <v>274</v>
      </c>
      <c r="AK234">
        <v>48</v>
      </c>
      <c r="AL234">
        <v>115</v>
      </c>
      <c r="AM234" t="s">
        <v>85</v>
      </c>
      <c r="AN234" t="s">
        <v>274</v>
      </c>
      <c r="AO234" t="s">
        <v>274</v>
      </c>
      <c r="AP234" t="s">
        <v>274</v>
      </c>
      <c r="AQ234">
        <v>9</v>
      </c>
      <c r="AR234">
        <v>8</v>
      </c>
      <c r="AS234">
        <v>9</v>
      </c>
      <c r="AT234" t="s">
        <v>266</v>
      </c>
      <c r="AU234">
        <v>55</v>
      </c>
      <c r="AV234" t="s">
        <v>274</v>
      </c>
      <c r="AW234" t="s">
        <v>274</v>
      </c>
      <c r="AX234">
        <v>1</v>
      </c>
      <c r="AY234" t="s">
        <v>83</v>
      </c>
      <c r="AZ234" t="s">
        <v>274</v>
      </c>
      <c r="BA234">
        <v>1</v>
      </c>
      <c r="BB234">
        <v>1</v>
      </c>
      <c r="BC234" t="s">
        <v>83</v>
      </c>
      <c r="BD234">
        <v>1</v>
      </c>
      <c r="BE234">
        <v>8</v>
      </c>
      <c r="BF234">
        <v>52</v>
      </c>
      <c r="BG234" t="s">
        <v>306</v>
      </c>
      <c r="BH234" t="s">
        <v>281</v>
      </c>
      <c r="BI234">
        <v>1.5</v>
      </c>
      <c r="BJ234">
        <v>2</v>
      </c>
      <c r="BK234">
        <v>9.1999999999999993</v>
      </c>
      <c r="BL234">
        <v>1.8</v>
      </c>
    </row>
    <row r="235" spans="1:64" x14ac:dyDescent="0.25">
      <c r="A235" t="s">
        <v>527</v>
      </c>
      <c r="B235">
        <v>61</v>
      </c>
      <c r="C235" t="s">
        <v>460</v>
      </c>
      <c r="D235" t="s">
        <v>89</v>
      </c>
      <c r="E235" t="s">
        <v>90</v>
      </c>
      <c r="F235" t="s">
        <v>207</v>
      </c>
      <c r="G235" t="s">
        <v>208</v>
      </c>
      <c r="H235" t="s">
        <v>124</v>
      </c>
      <c r="I235" t="s">
        <v>461</v>
      </c>
      <c r="J235" t="s">
        <v>462</v>
      </c>
      <c r="K235" t="s">
        <v>290</v>
      </c>
      <c r="L235">
        <v>1.5</v>
      </c>
      <c r="M235">
        <v>7</v>
      </c>
      <c r="N235" t="s">
        <v>135</v>
      </c>
      <c r="O235" t="s">
        <v>75</v>
      </c>
      <c r="P235" t="s">
        <v>454</v>
      </c>
      <c r="Q235" t="s">
        <v>295</v>
      </c>
      <c r="R235" t="s">
        <v>83</v>
      </c>
      <c r="S235" t="s">
        <v>83</v>
      </c>
      <c r="T235" t="s">
        <v>83</v>
      </c>
      <c r="U235" t="s">
        <v>286</v>
      </c>
      <c r="V235" t="s">
        <v>83</v>
      </c>
      <c r="W235" t="s">
        <v>83</v>
      </c>
      <c r="X235" t="s">
        <v>489</v>
      </c>
      <c r="Y235">
        <v>4</v>
      </c>
      <c r="Z235">
        <v>8.5</v>
      </c>
      <c r="AA235" t="s">
        <v>266</v>
      </c>
      <c r="AB235" t="s">
        <v>78</v>
      </c>
      <c r="AC235">
        <v>0</v>
      </c>
      <c r="AD235">
        <v>2</v>
      </c>
      <c r="AE235">
        <v>1</v>
      </c>
      <c r="AF235">
        <v>2</v>
      </c>
      <c r="AG235">
        <v>1</v>
      </c>
      <c r="AH235">
        <v>1</v>
      </c>
      <c r="AI235" t="s">
        <v>83</v>
      </c>
      <c r="AJ235" t="s">
        <v>83</v>
      </c>
      <c r="AK235">
        <v>55</v>
      </c>
      <c r="AL235">
        <v>130</v>
      </c>
      <c r="AM235" t="s">
        <v>85</v>
      </c>
      <c r="AN235" t="s">
        <v>83</v>
      </c>
      <c r="AO235" t="s">
        <v>274</v>
      </c>
      <c r="AP235" t="s">
        <v>83</v>
      </c>
      <c r="AQ235">
        <v>9</v>
      </c>
      <c r="AR235">
        <v>9</v>
      </c>
      <c r="AS235">
        <v>9</v>
      </c>
      <c r="AT235" t="s">
        <v>336</v>
      </c>
      <c r="AU235">
        <v>68</v>
      </c>
      <c r="AV235" t="s">
        <v>274</v>
      </c>
      <c r="AW235" t="s">
        <v>83</v>
      </c>
      <c r="AX235">
        <v>1</v>
      </c>
      <c r="AY235" t="s">
        <v>83</v>
      </c>
      <c r="AZ235" t="s">
        <v>83</v>
      </c>
      <c r="BA235">
        <v>1</v>
      </c>
      <c r="BB235">
        <v>1</v>
      </c>
      <c r="BC235" t="s">
        <v>83</v>
      </c>
      <c r="BD235">
        <v>1</v>
      </c>
      <c r="BE235">
        <v>9</v>
      </c>
      <c r="BF235">
        <v>72</v>
      </c>
      <c r="BG235" t="s">
        <v>306</v>
      </c>
      <c r="BH235" t="s">
        <v>281</v>
      </c>
      <c r="BI235">
        <v>1</v>
      </c>
      <c r="BJ235">
        <v>1.4</v>
      </c>
      <c r="BK235">
        <v>9.6999999999999993</v>
      </c>
      <c r="BL235">
        <v>1</v>
      </c>
    </row>
    <row r="236" spans="1:64" x14ac:dyDescent="0.25">
      <c r="A236" t="s">
        <v>528</v>
      </c>
      <c r="B236">
        <v>57</v>
      </c>
      <c r="C236" t="s">
        <v>453</v>
      </c>
      <c r="D236" t="s">
        <v>66</v>
      </c>
      <c r="E236" t="s">
        <v>107</v>
      </c>
      <c r="F236" t="s">
        <v>160</v>
      </c>
      <c r="G236" t="s">
        <v>161</v>
      </c>
      <c r="H236" t="s">
        <v>279</v>
      </c>
      <c r="I236" t="s">
        <v>166</v>
      </c>
      <c r="J236" t="s">
        <v>285</v>
      </c>
      <c r="K236" t="s">
        <v>290</v>
      </c>
      <c r="L236">
        <v>1.5</v>
      </c>
      <c r="M236">
        <v>12</v>
      </c>
      <c r="N236" t="s">
        <v>135</v>
      </c>
      <c r="O236" t="s">
        <v>272</v>
      </c>
      <c r="P236" t="s">
        <v>454</v>
      </c>
      <c r="Q236" t="s">
        <v>295</v>
      </c>
      <c r="R236" t="s">
        <v>274</v>
      </c>
      <c r="S236" t="s">
        <v>274</v>
      </c>
      <c r="T236" t="s">
        <v>83</v>
      </c>
      <c r="U236" t="s">
        <v>286</v>
      </c>
      <c r="V236" t="s">
        <v>83</v>
      </c>
      <c r="W236" t="s">
        <v>274</v>
      </c>
      <c r="X236" t="s">
        <v>324</v>
      </c>
      <c r="Y236">
        <v>5</v>
      </c>
      <c r="Z236">
        <v>8.5</v>
      </c>
      <c r="AA236" t="s">
        <v>266</v>
      </c>
      <c r="AB236" t="s">
        <v>78</v>
      </c>
      <c r="AC236">
        <v>9</v>
      </c>
      <c r="AD236">
        <v>2</v>
      </c>
      <c r="AE236">
        <v>1</v>
      </c>
      <c r="AF236">
        <v>2</v>
      </c>
      <c r="AG236">
        <v>2</v>
      </c>
      <c r="AH236">
        <v>1</v>
      </c>
      <c r="AI236" t="s">
        <v>274</v>
      </c>
      <c r="AJ236" t="s">
        <v>83</v>
      </c>
      <c r="AK236">
        <v>52</v>
      </c>
      <c r="AL236">
        <v>125</v>
      </c>
      <c r="AM236" t="s">
        <v>85</v>
      </c>
      <c r="AN236" t="s">
        <v>274</v>
      </c>
      <c r="AO236" t="s">
        <v>274</v>
      </c>
      <c r="AP236" t="s">
        <v>83</v>
      </c>
      <c r="AQ236">
        <v>9</v>
      </c>
      <c r="AR236">
        <v>8</v>
      </c>
      <c r="AS236">
        <v>9</v>
      </c>
      <c r="AT236" t="s">
        <v>336</v>
      </c>
      <c r="AU236">
        <v>60</v>
      </c>
      <c r="AV236" t="s">
        <v>274</v>
      </c>
      <c r="AW236" t="s">
        <v>274</v>
      </c>
      <c r="AX236">
        <v>1</v>
      </c>
      <c r="AY236" t="s">
        <v>83</v>
      </c>
      <c r="AZ236" t="s">
        <v>83</v>
      </c>
      <c r="BA236">
        <v>1</v>
      </c>
      <c r="BB236">
        <v>1</v>
      </c>
      <c r="BC236" t="s">
        <v>83</v>
      </c>
      <c r="BD236">
        <v>1</v>
      </c>
      <c r="BE236">
        <v>9</v>
      </c>
      <c r="BF236">
        <v>62</v>
      </c>
      <c r="BG236" t="s">
        <v>306</v>
      </c>
      <c r="BH236" t="s">
        <v>281</v>
      </c>
      <c r="BI236">
        <v>1.2</v>
      </c>
      <c r="BJ236">
        <v>1.8</v>
      </c>
      <c r="BK236">
        <v>9.5</v>
      </c>
      <c r="BL236">
        <v>1.5</v>
      </c>
    </row>
    <row r="237" spans="1:64" x14ac:dyDescent="0.25">
      <c r="A237" t="s">
        <v>529</v>
      </c>
      <c r="B237">
        <v>69</v>
      </c>
      <c r="C237" t="s">
        <v>460</v>
      </c>
      <c r="D237" t="s">
        <v>89</v>
      </c>
      <c r="E237" t="s">
        <v>114</v>
      </c>
      <c r="F237" t="s">
        <v>184</v>
      </c>
      <c r="G237" t="s">
        <v>185</v>
      </c>
      <c r="H237" t="s">
        <v>124</v>
      </c>
      <c r="I237" t="s">
        <v>461</v>
      </c>
      <c r="J237" t="s">
        <v>462</v>
      </c>
      <c r="K237" t="s">
        <v>290</v>
      </c>
      <c r="L237">
        <v>1</v>
      </c>
      <c r="M237">
        <v>6</v>
      </c>
      <c r="N237" t="s">
        <v>135</v>
      </c>
      <c r="O237" t="s">
        <v>463</v>
      </c>
      <c r="P237" t="s">
        <v>454</v>
      </c>
      <c r="Q237" t="s">
        <v>473</v>
      </c>
      <c r="R237" t="s">
        <v>83</v>
      </c>
      <c r="S237" t="s">
        <v>83</v>
      </c>
      <c r="T237" t="s">
        <v>83</v>
      </c>
      <c r="U237" t="s">
        <v>286</v>
      </c>
      <c r="V237" t="s">
        <v>83</v>
      </c>
      <c r="W237" t="s">
        <v>83</v>
      </c>
      <c r="X237" t="s">
        <v>516</v>
      </c>
      <c r="Y237">
        <v>4</v>
      </c>
      <c r="Z237">
        <v>9</v>
      </c>
      <c r="AA237" t="s">
        <v>336</v>
      </c>
      <c r="AB237" t="s">
        <v>78</v>
      </c>
      <c r="AC237">
        <v>0</v>
      </c>
      <c r="AD237">
        <v>1</v>
      </c>
      <c r="AE237">
        <v>1</v>
      </c>
      <c r="AF237">
        <v>1</v>
      </c>
      <c r="AG237">
        <v>1</v>
      </c>
      <c r="AH237">
        <v>1</v>
      </c>
      <c r="AI237" t="s">
        <v>83</v>
      </c>
      <c r="AJ237" t="s">
        <v>83</v>
      </c>
      <c r="AK237">
        <v>60</v>
      </c>
      <c r="AL237">
        <v>140</v>
      </c>
      <c r="AM237" t="s">
        <v>85</v>
      </c>
      <c r="AN237" t="s">
        <v>83</v>
      </c>
      <c r="AO237" t="s">
        <v>83</v>
      </c>
      <c r="AP237" t="s">
        <v>83</v>
      </c>
      <c r="AQ237">
        <v>10</v>
      </c>
      <c r="AR237">
        <v>9</v>
      </c>
      <c r="AS237">
        <v>10</v>
      </c>
      <c r="AT237" t="s">
        <v>475</v>
      </c>
      <c r="AU237">
        <v>70</v>
      </c>
      <c r="AV237" t="s">
        <v>83</v>
      </c>
      <c r="AW237" t="s">
        <v>83</v>
      </c>
      <c r="AX237">
        <v>1</v>
      </c>
      <c r="AY237" t="s">
        <v>83</v>
      </c>
      <c r="AZ237" t="s">
        <v>83</v>
      </c>
      <c r="BA237">
        <v>1</v>
      </c>
      <c r="BB237">
        <v>1</v>
      </c>
      <c r="BC237" t="s">
        <v>83</v>
      </c>
      <c r="BD237">
        <v>0</v>
      </c>
      <c r="BE237">
        <v>10</v>
      </c>
      <c r="BF237">
        <v>82</v>
      </c>
      <c r="BG237" t="s">
        <v>306</v>
      </c>
      <c r="BH237" t="s">
        <v>281</v>
      </c>
      <c r="BI237">
        <v>0.8</v>
      </c>
      <c r="BJ237">
        <v>1.2</v>
      </c>
      <c r="BK237">
        <v>9.8000000000000007</v>
      </c>
      <c r="BL237">
        <v>0.8</v>
      </c>
    </row>
    <row r="238" spans="1:64" x14ac:dyDescent="0.25">
      <c r="A238" t="s">
        <v>530</v>
      </c>
      <c r="B238">
        <v>54</v>
      </c>
      <c r="C238" t="s">
        <v>453</v>
      </c>
      <c r="D238" t="s">
        <v>66</v>
      </c>
      <c r="E238" t="s">
        <v>90</v>
      </c>
      <c r="F238" t="s">
        <v>222</v>
      </c>
      <c r="G238" t="s">
        <v>223</v>
      </c>
      <c r="H238" t="s">
        <v>124</v>
      </c>
      <c r="I238" t="s">
        <v>166</v>
      </c>
      <c r="J238" t="s">
        <v>179</v>
      </c>
      <c r="K238" t="s">
        <v>290</v>
      </c>
      <c r="L238">
        <v>2.5</v>
      </c>
      <c r="M238">
        <v>9</v>
      </c>
      <c r="N238" t="s">
        <v>135</v>
      </c>
      <c r="O238" t="s">
        <v>488</v>
      </c>
      <c r="P238" t="s">
        <v>273</v>
      </c>
      <c r="Q238" t="s">
        <v>295</v>
      </c>
      <c r="R238" t="s">
        <v>274</v>
      </c>
      <c r="S238" t="s">
        <v>274</v>
      </c>
      <c r="T238" t="s">
        <v>274</v>
      </c>
      <c r="U238" t="s">
        <v>286</v>
      </c>
      <c r="V238" t="s">
        <v>274</v>
      </c>
      <c r="W238" t="s">
        <v>274</v>
      </c>
      <c r="X238" t="s">
        <v>522</v>
      </c>
      <c r="Y238">
        <v>6</v>
      </c>
      <c r="Z238">
        <v>8</v>
      </c>
      <c r="AA238" t="s">
        <v>266</v>
      </c>
      <c r="AB238" t="s">
        <v>103</v>
      </c>
      <c r="AC238">
        <v>8</v>
      </c>
      <c r="AD238">
        <v>2</v>
      </c>
      <c r="AE238">
        <v>1</v>
      </c>
      <c r="AF238">
        <v>2</v>
      </c>
      <c r="AG238">
        <v>2</v>
      </c>
      <c r="AH238">
        <v>1</v>
      </c>
      <c r="AI238" t="s">
        <v>274</v>
      </c>
      <c r="AJ238" t="s">
        <v>274</v>
      </c>
      <c r="AK238">
        <v>46</v>
      </c>
      <c r="AL238">
        <v>112</v>
      </c>
      <c r="AM238" t="s">
        <v>85</v>
      </c>
      <c r="AN238" t="s">
        <v>274</v>
      </c>
      <c r="AO238" t="s">
        <v>274</v>
      </c>
      <c r="AP238" t="s">
        <v>274</v>
      </c>
      <c r="AQ238">
        <v>9</v>
      </c>
      <c r="AR238">
        <v>8</v>
      </c>
      <c r="AS238">
        <v>9</v>
      </c>
      <c r="AT238" t="s">
        <v>266</v>
      </c>
      <c r="AU238">
        <v>54</v>
      </c>
      <c r="AV238" t="s">
        <v>274</v>
      </c>
      <c r="AW238" t="s">
        <v>274</v>
      </c>
      <c r="AX238">
        <v>2</v>
      </c>
      <c r="AY238" t="s">
        <v>274</v>
      </c>
      <c r="AZ238" t="s">
        <v>274</v>
      </c>
      <c r="BA238">
        <v>2</v>
      </c>
      <c r="BB238">
        <v>2</v>
      </c>
      <c r="BC238" t="s">
        <v>274</v>
      </c>
      <c r="BD238">
        <v>2</v>
      </c>
      <c r="BE238">
        <v>8</v>
      </c>
      <c r="BF238">
        <v>50</v>
      </c>
      <c r="BG238" t="s">
        <v>86</v>
      </c>
      <c r="BH238" t="s">
        <v>281</v>
      </c>
      <c r="BI238">
        <v>1.8</v>
      </c>
      <c r="BJ238">
        <v>2.4</v>
      </c>
      <c r="BK238">
        <v>8.8000000000000007</v>
      </c>
      <c r="BL238">
        <v>2.2000000000000002</v>
      </c>
    </row>
    <row r="239" spans="1:64" x14ac:dyDescent="0.25">
      <c r="A239" t="s">
        <v>531</v>
      </c>
      <c r="B239">
        <v>58</v>
      </c>
      <c r="C239" t="s">
        <v>453</v>
      </c>
      <c r="D239" t="s">
        <v>89</v>
      </c>
      <c r="E239" t="s">
        <v>67</v>
      </c>
      <c r="F239" t="s">
        <v>119</v>
      </c>
      <c r="G239" t="s">
        <v>120</v>
      </c>
      <c r="H239" t="s">
        <v>124</v>
      </c>
      <c r="I239" t="s">
        <v>166</v>
      </c>
      <c r="J239" t="s">
        <v>315</v>
      </c>
      <c r="K239" t="s">
        <v>290</v>
      </c>
      <c r="L239">
        <v>2</v>
      </c>
      <c r="M239">
        <v>10</v>
      </c>
      <c r="N239" t="s">
        <v>135</v>
      </c>
      <c r="O239" t="s">
        <v>75</v>
      </c>
      <c r="P239" t="s">
        <v>273</v>
      </c>
      <c r="Q239" t="s">
        <v>295</v>
      </c>
      <c r="R239" t="s">
        <v>274</v>
      </c>
      <c r="S239" t="s">
        <v>274</v>
      </c>
      <c r="T239" t="s">
        <v>274</v>
      </c>
      <c r="U239" t="s">
        <v>286</v>
      </c>
      <c r="V239" t="s">
        <v>274</v>
      </c>
      <c r="W239" t="s">
        <v>274</v>
      </c>
      <c r="X239" t="s">
        <v>428</v>
      </c>
      <c r="Y239">
        <v>5.5</v>
      </c>
      <c r="Z239">
        <v>8</v>
      </c>
      <c r="AA239" t="s">
        <v>266</v>
      </c>
      <c r="AB239" t="s">
        <v>275</v>
      </c>
      <c r="AC239">
        <v>9</v>
      </c>
      <c r="AD239">
        <v>2</v>
      </c>
      <c r="AE239">
        <v>1</v>
      </c>
      <c r="AF239">
        <v>2</v>
      </c>
      <c r="AG239">
        <v>2</v>
      </c>
      <c r="AH239">
        <v>1</v>
      </c>
      <c r="AI239" t="s">
        <v>274</v>
      </c>
      <c r="AJ239" t="s">
        <v>274</v>
      </c>
      <c r="AK239">
        <v>48</v>
      </c>
      <c r="AL239">
        <v>115</v>
      </c>
      <c r="AM239" t="s">
        <v>85</v>
      </c>
      <c r="AN239" t="s">
        <v>274</v>
      </c>
      <c r="AO239" t="s">
        <v>274</v>
      </c>
      <c r="AP239" t="s">
        <v>274</v>
      </c>
      <c r="AQ239">
        <v>9</v>
      </c>
      <c r="AR239">
        <v>8</v>
      </c>
      <c r="AS239">
        <v>9</v>
      </c>
      <c r="AT239" t="s">
        <v>266</v>
      </c>
      <c r="AU239">
        <v>55</v>
      </c>
      <c r="AV239" t="s">
        <v>274</v>
      </c>
      <c r="AW239" t="s">
        <v>274</v>
      </c>
      <c r="AX239">
        <v>1</v>
      </c>
      <c r="AY239" t="s">
        <v>83</v>
      </c>
      <c r="AZ239" t="s">
        <v>274</v>
      </c>
      <c r="BA239">
        <v>1</v>
      </c>
      <c r="BB239">
        <v>1</v>
      </c>
      <c r="BC239" t="s">
        <v>83</v>
      </c>
      <c r="BD239">
        <v>1</v>
      </c>
      <c r="BE239">
        <v>8</v>
      </c>
      <c r="BF239">
        <v>52</v>
      </c>
      <c r="BG239" t="s">
        <v>306</v>
      </c>
      <c r="BH239" t="s">
        <v>281</v>
      </c>
      <c r="BI239">
        <v>1.5</v>
      </c>
      <c r="BJ239">
        <v>2</v>
      </c>
      <c r="BK239">
        <v>9.1999999999999993</v>
      </c>
      <c r="BL239">
        <v>1.8</v>
      </c>
    </row>
    <row r="240" spans="1:64" x14ac:dyDescent="0.25">
      <c r="A240" t="s">
        <v>532</v>
      </c>
      <c r="B240">
        <v>72</v>
      </c>
      <c r="C240" t="s">
        <v>460</v>
      </c>
      <c r="D240" t="s">
        <v>66</v>
      </c>
      <c r="E240" t="s">
        <v>97</v>
      </c>
      <c r="F240" t="s">
        <v>138</v>
      </c>
      <c r="G240" t="s">
        <v>139</v>
      </c>
      <c r="H240" t="s">
        <v>124</v>
      </c>
      <c r="I240" t="s">
        <v>461</v>
      </c>
      <c r="J240" t="s">
        <v>462</v>
      </c>
      <c r="K240" t="s">
        <v>290</v>
      </c>
      <c r="L240">
        <v>1</v>
      </c>
      <c r="M240">
        <v>5</v>
      </c>
      <c r="N240" t="s">
        <v>135</v>
      </c>
      <c r="O240" t="s">
        <v>463</v>
      </c>
      <c r="P240" t="s">
        <v>454</v>
      </c>
      <c r="Q240" t="s">
        <v>473</v>
      </c>
      <c r="R240" t="s">
        <v>83</v>
      </c>
      <c r="S240" t="s">
        <v>83</v>
      </c>
      <c r="T240" t="s">
        <v>83</v>
      </c>
      <c r="U240" t="s">
        <v>286</v>
      </c>
      <c r="V240" t="s">
        <v>83</v>
      </c>
      <c r="W240" t="s">
        <v>83</v>
      </c>
      <c r="X240" t="s">
        <v>470</v>
      </c>
      <c r="Y240">
        <v>4</v>
      </c>
      <c r="Z240">
        <v>9</v>
      </c>
      <c r="AA240" t="s">
        <v>336</v>
      </c>
      <c r="AB240" t="s">
        <v>78</v>
      </c>
      <c r="AC240">
        <v>0</v>
      </c>
      <c r="AD240">
        <v>1</v>
      </c>
      <c r="AE240">
        <v>1</v>
      </c>
      <c r="AF240">
        <v>1</v>
      </c>
      <c r="AG240">
        <v>1</v>
      </c>
      <c r="AH240">
        <v>1</v>
      </c>
      <c r="AI240" t="s">
        <v>83</v>
      </c>
      <c r="AJ240" t="s">
        <v>83</v>
      </c>
      <c r="AK240">
        <v>60</v>
      </c>
      <c r="AL240">
        <v>140</v>
      </c>
      <c r="AM240" t="s">
        <v>85</v>
      </c>
      <c r="AN240" t="s">
        <v>83</v>
      </c>
      <c r="AO240" t="s">
        <v>83</v>
      </c>
      <c r="AP240" t="s">
        <v>83</v>
      </c>
      <c r="AQ240">
        <v>10</v>
      </c>
      <c r="AR240">
        <v>9</v>
      </c>
      <c r="AS240">
        <v>10</v>
      </c>
      <c r="AT240" t="s">
        <v>475</v>
      </c>
      <c r="AU240">
        <v>70</v>
      </c>
      <c r="AV240" t="s">
        <v>83</v>
      </c>
      <c r="AW240" t="s">
        <v>83</v>
      </c>
      <c r="AX240">
        <v>1</v>
      </c>
      <c r="AY240" t="s">
        <v>83</v>
      </c>
      <c r="AZ240" t="s">
        <v>83</v>
      </c>
      <c r="BA240">
        <v>1</v>
      </c>
      <c r="BB240">
        <v>1</v>
      </c>
      <c r="BC240" t="s">
        <v>83</v>
      </c>
      <c r="BD240">
        <v>0</v>
      </c>
      <c r="BE240">
        <v>10</v>
      </c>
      <c r="BF240">
        <v>82</v>
      </c>
      <c r="BG240" t="s">
        <v>306</v>
      </c>
      <c r="BH240" t="s">
        <v>281</v>
      </c>
      <c r="BI240">
        <v>0.8</v>
      </c>
      <c r="BJ240">
        <v>1.2</v>
      </c>
      <c r="BK240">
        <v>9.8000000000000007</v>
      </c>
      <c r="BL240">
        <v>0.8</v>
      </c>
    </row>
    <row r="241" spans="1:64" x14ac:dyDescent="0.25">
      <c r="A241" t="s">
        <v>533</v>
      </c>
      <c r="B241">
        <v>51</v>
      </c>
      <c r="C241" t="s">
        <v>453</v>
      </c>
      <c r="D241" t="s">
        <v>89</v>
      </c>
      <c r="E241" t="s">
        <v>107</v>
      </c>
      <c r="F241" t="s">
        <v>141</v>
      </c>
      <c r="G241" t="s">
        <v>142</v>
      </c>
      <c r="H241" t="s">
        <v>279</v>
      </c>
      <c r="I241" t="s">
        <v>166</v>
      </c>
      <c r="J241" t="s">
        <v>311</v>
      </c>
      <c r="K241" t="s">
        <v>290</v>
      </c>
      <c r="L241">
        <v>1.5</v>
      </c>
      <c r="M241">
        <v>12</v>
      </c>
      <c r="N241" t="s">
        <v>272</v>
      </c>
      <c r="O241" t="s">
        <v>130</v>
      </c>
      <c r="P241" t="s">
        <v>454</v>
      </c>
      <c r="Q241" t="s">
        <v>295</v>
      </c>
      <c r="R241" t="s">
        <v>274</v>
      </c>
      <c r="S241" t="s">
        <v>274</v>
      </c>
      <c r="T241" t="s">
        <v>83</v>
      </c>
      <c r="U241" t="s">
        <v>286</v>
      </c>
      <c r="V241" t="s">
        <v>83</v>
      </c>
      <c r="W241" t="s">
        <v>274</v>
      </c>
      <c r="X241" t="s">
        <v>392</v>
      </c>
      <c r="Y241">
        <v>5</v>
      </c>
      <c r="Z241">
        <v>8.5</v>
      </c>
      <c r="AA241" t="s">
        <v>266</v>
      </c>
      <c r="AB241" t="s">
        <v>78</v>
      </c>
      <c r="AC241">
        <v>9.5</v>
      </c>
      <c r="AD241">
        <v>2</v>
      </c>
      <c r="AE241">
        <v>1</v>
      </c>
      <c r="AF241">
        <v>2</v>
      </c>
      <c r="AG241">
        <v>1</v>
      </c>
      <c r="AH241">
        <v>1</v>
      </c>
      <c r="AI241" t="s">
        <v>274</v>
      </c>
      <c r="AJ241" t="s">
        <v>83</v>
      </c>
      <c r="AK241">
        <v>52</v>
      </c>
      <c r="AL241">
        <v>125</v>
      </c>
      <c r="AM241" t="s">
        <v>85</v>
      </c>
      <c r="AN241" t="s">
        <v>274</v>
      </c>
      <c r="AO241" t="s">
        <v>274</v>
      </c>
      <c r="AP241" t="s">
        <v>83</v>
      </c>
      <c r="AQ241">
        <v>9</v>
      </c>
      <c r="AR241">
        <v>8</v>
      </c>
      <c r="AS241">
        <v>9</v>
      </c>
      <c r="AT241" t="s">
        <v>336</v>
      </c>
      <c r="AU241">
        <v>62</v>
      </c>
      <c r="AV241" t="s">
        <v>274</v>
      </c>
      <c r="AW241" t="s">
        <v>274</v>
      </c>
      <c r="AX241">
        <v>1</v>
      </c>
      <c r="AY241" t="s">
        <v>83</v>
      </c>
      <c r="AZ241" t="s">
        <v>83</v>
      </c>
      <c r="BA241">
        <v>1</v>
      </c>
      <c r="BB241">
        <v>1</v>
      </c>
      <c r="BC241" t="s">
        <v>83</v>
      </c>
      <c r="BD241">
        <v>1</v>
      </c>
      <c r="BE241">
        <v>9</v>
      </c>
      <c r="BF241">
        <v>62</v>
      </c>
      <c r="BG241" t="s">
        <v>306</v>
      </c>
      <c r="BH241" t="s">
        <v>281</v>
      </c>
      <c r="BI241">
        <v>1</v>
      </c>
      <c r="BJ241">
        <v>1.5</v>
      </c>
      <c r="BK241">
        <v>9.6</v>
      </c>
      <c r="BL241">
        <v>1.2</v>
      </c>
    </row>
    <row r="242" spans="1:64" x14ac:dyDescent="0.25">
      <c r="A242" t="s">
        <v>534</v>
      </c>
      <c r="B242">
        <v>45</v>
      </c>
      <c r="C242" t="s">
        <v>382</v>
      </c>
      <c r="D242" t="s">
        <v>89</v>
      </c>
      <c r="E242" t="s">
        <v>107</v>
      </c>
      <c r="F242" t="s">
        <v>108</v>
      </c>
      <c r="G242" t="s">
        <v>109</v>
      </c>
      <c r="H242" t="s">
        <v>279</v>
      </c>
      <c r="I242" t="s">
        <v>166</v>
      </c>
      <c r="J242" t="s">
        <v>167</v>
      </c>
      <c r="K242" t="s">
        <v>535</v>
      </c>
      <c r="L242">
        <v>6.5</v>
      </c>
      <c r="M242">
        <v>12</v>
      </c>
      <c r="N242" t="s">
        <v>75</v>
      </c>
      <c r="O242" t="s">
        <v>110</v>
      </c>
      <c r="P242" t="s">
        <v>100</v>
      </c>
      <c r="Q242" t="s">
        <v>77</v>
      </c>
      <c r="R242" t="s">
        <v>78</v>
      </c>
      <c r="S242" t="s">
        <v>102</v>
      </c>
      <c r="T242" t="s">
        <v>102</v>
      </c>
      <c r="U242" t="s">
        <v>80</v>
      </c>
      <c r="V242" t="s">
        <v>80</v>
      </c>
      <c r="W242" t="s">
        <v>78</v>
      </c>
      <c r="X242" t="s">
        <v>536</v>
      </c>
      <c r="Y242">
        <v>10.5</v>
      </c>
      <c r="Z242">
        <v>6</v>
      </c>
      <c r="AA242" t="s">
        <v>82</v>
      </c>
      <c r="AB242" t="s">
        <v>83</v>
      </c>
      <c r="AC242">
        <v>8.5</v>
      </c>
      <c r="AD242">
        <v>8</v>
      </c>
      <c r="AE242">
        <v>4</v>
      </c>
      <c r="AF242">
        <v>7</v>
      </c>
      <c r="AG242">
        <v>5</v>
      </c>
      <c r="AH242">
        <v>6</v>
      </c>
      <c r="AI242" t="s">
        <v>80</v>
      </c>
      <c r="AJ242" t="s">
        <v>80</v>
      </c>
      <c r="AK242">
        <v>15</v>
      </c>
      <c r="AL242">
        <v>30</v>
      </c>
      <c r="AM242" t="s">
        <v>84</v>
      </c>
      <c r="AN242" t="s">
        <v>80</v>
      </c>
      <c r="AO242" t="s">
        <v>80</v>
      </c>
      <c r="AP242" t="s">
        <v>80</v>
      </c>
      <c r="AQ242">
        <v>4</v>
      </c>
      <c r="AR242">
        <v>4</v>
      </c>
      <c r="AS242">
        <v>4</v>
      </c>
      <c r="AT242" t="s">
        <v>85</v>
      </c>
      <c r="AU242">
        <v>15</v>
      </c>
      <c r="AV242" t="s">
        <v>80</v>
      </c>
      <c r="AW242" t="s">
        <v>80</v>
      </c>
      <c r="AX242">
        <v>7</v>
      </c>
      <c r="AY242" t="s">
        <v>78</v>
      </c>
      <c r="AZ242" t="s">
        <v>80</v>
      </c>
      <c r="BA242">
        <v>8</v>
      </c>
      <c r="BB242">
        <v>7</v>
      </c>
      <c r="BC242" t="s">
        <v>80</v>
      </c>
      <c r="BD242">
        <v>8</v>
      </c>
      <c r="BE242">
        <v>4</v>
      </c>
      <c r="BF242">
        <v>10</v>
      </c>
      <c r="BG242" t="s">
        <v>86</v>
      </c>
      <c r="BH242" t="s">
        <v>104</v>
      </c>
      <c r="BI242">
        <v>7.5</v>
      </c>
      <c r="BJ242">
        <v>8</v>
      </c>
      <c r="BK242">
        <v>3.2</v>
      </c>
      <c r="BL242">
        <v>8.5</v>
      </c>
    </row>
    <row r="243" spans="1:64" x14ac:dyDescent="0.25">
      <c r="A243" t="s">
        <v>537</v>
      </c>
      <c r="B243">
        <v>38</v>
      </c>
      <c r="C243" t="s">
        <v>382</v>
      </c>
      <c r="D243" t="s">
        <v>66</v>
      </c>
      <c r="E243" t="s">
        <v>90</v>
      </c>
      <c r="F243" t="s">
        <v>91</v>
      </c>
      <c r="G243" t="s">
        <v>92</v>
      </c>
      <c r="H243" t="s">
        <v>279</v>
      </c>
      <c r="I243" t="s">
        <v>166</v>
      </c>
      <c r="J243" t="s">
        <v>303</v>
      </c>
      <c r="K243" t="s">
        <v>73</v>
      </c>
      <c r="L243">
        <v>7</v>
      </c>
      <c r="M243">
        <v>10</v>
      </c>
      <c r="N243" t="s">
        <v>214</v>
      </c>
      <c r="O243" t="s">
        <v>168</v>
      </c>
      <c r="P243" t="s">
        <v>76</v>
      </c>
      <c r="Q243" t="s">
        <v>77</v>
      </c>
      <c r="R243" t="s">
        <v>78</v>
      </c>
      <c r="S243" t="s">
        <v>79</v>
      </c>
      <c r="T243" t="s">
        <v>102</v>
      </c>
      <c r="U243" t="s">
        <v>80</v>
      </c>
      <c r="V243" t="s">
        <v>80</v>
      </c>
      <c r="W243" t="s">
        <v>78</v>
      </c>
      <c r="X243" t="s">
        <v>81</v>
      </c>
      <c r="Y243">
        <v>11</v>
      </c>
      <c r="Z243">
        <v>6</v>
      </c>
      <c r="AA243" t="s">
        <v>82</v>
      </c>
      <c r="AB243" t="s">
        <v>83</v>
      </c>
      <c r="AC243">
        <v>8.5</v>
      </c>
      <c r="AD243">
        <v>9</v>
      </c>
      <c r="AE243">
        <v>5</v>
      </c>
      <c r="AF243">
        <v>8</v>
      </c>
      <c r="AG243">
        <v>8</v>
      </c>
      <c r="AH243">
        <v>8</v>
      </c>
      <c r="AI243" t="s">
        <v>80</v>
      </c>
      <c r="AJ243" t="s">
        <v>80</v>
      </c>
      <c r="AK243">
        <v>10</v>
      </c>
      <c r="AL243">
        <v>20</v>
      </c>
      <c r="AM243" t="s">
        <v>84</v>
      </c>
      <c r="AN243" t="s">
        <v>80</v>
      </c>
      <c r="AO243" t="s">
        <v>80</v>
      </c>
      <c r="AP243" t="s">
        <v>80</v>
      </c>
      <c r="AQ243">
        <v>4</v>
      </c>
      <c r="AR243">
        <v>3</v>
      </c>
      <c r="AS243">
        <v>4</v>
      </c>
      <c r="AT243" t="s">
        <v>85</v>
      </c>
      <c r="AU243">
        <v>10</v>
      </c>
      <c r="AV243" t="s">
        <v>80</v>
      </c>
      <c r="AW243" t="s">
        <v>80</v>
      </c>
      <c r="AX243">
        <v>8</v>
      </c>
      <c r="AY243" t="s">
        <v>78</v>
      </c>
      <c r="AZ243" t="s">
        <v>80</v>
      </c>
      <c r="BA243">
        <v>9</v>
      </c>
      <c r="BB243">
        <v>8</v>
      </c>
      <c r="BC243" t="s">
        <v>80</v>
      </c>
      <c r="BD243">
        <v>9</v>
      </c>
      <c r="BE243">
        <v>3</v>
      </c>
      <c r="BF243">
        <v>7</v>
      </c>
      <c r="BG243" t="s">
        <v>538</v>
      </c>
      <c r="BH243" t="s">
        <v>87</v>
      </c>
      <c r="BI243">
        <v>8.8000000000000007</v>
      </c>
      <c r="BJ243">
        <v>9.1999999999999993</v>
      </c>
      <c r="BK243">
        <v>2.2000000000000002</v>
      </c>
      <c r="BL243">
        <v>9.5</v>
      </c>
    </row>
    <row r="244" spans="1:64" x14ac:dyDescent="0.25">
      <c r="A244" t="s">
        <v>539</v>
      </c>
      <c r="B244">
        <v>33</v>
      </c>
      <c r="C244" t="s">
        <v>278</v>
      </c>
      <c r="D244" t="s">
        <v>540</v>
      </c>
      <c r="E244" t="s">
        <v>107</v>
      </c>
      <c r="F244" t="s">
        <v>108</v>
      </c>
      <c r="G244" t="s">
        <v>109</v>
      </c>
      <c r="H244" t="s">
        <v>124</v>
      </c>
      <c r="I244" t="s">
        <v>166</v>
      </c>
      <c r="J244" t="s">
        <v>193</v>
      </c>
      <c r="K244" t="s">
        <v>73</v>
      </c>
      <c r="L244">
        <v>6</v>
      </c>
      <c r="M244">
        <v>8</v>
      </c>
      <c r="N244" t="s">
        <v>93</v>
      </c>
      <c r="O244" t="s">
        <v>74</v>
      </c>
      <c r="P244" t="s">
        <v>100</v>
      </c>
      <c r="Q244" t="s">
        <v>101</v>
      </c>
      <c r="R244" t="s">
        <v>78</v>
      </c>
      <c r="S244" t="s">
        <v>102</v>
      </c>
      <c r="T244" t="s">
        <v>102</v>
      </c>
      <c r="U244" t="s">
        <v>80</v>
      </c>
      <c r="V244" t="s">
        <v>80</v>
      </c>
      <c r="W244" t="s">
        <v>78</v>
      </c>
      <c r="X244" t="s">
        <v>541</v>
      </c>
      <c r="Y244">
        <v>10</v>
      </c>
      <c r="Z244">
        <v>6.5</v>
      </c>
      <c r="AA244" t="s">
        <v>126</v>
      </c>
      <c r="AB244" t="s">
        <v>103</v>
      </c>
      <c r="AC244">
        <v>7.5</v>
      </c>
      <c r="AD244">
        <v>7</v>
      </c>
      <c r="AE244">
        <v>4</v>
      </c>
      <c r="AF244">
        <v>6</v>
      </c>
      <c r="AG244">
        <v>6</v>
      </c>
      <c r="AH244">
        <v>6</v>
      </c>
      <c r="AI244" t="s">
        <v>80</v>
      </c>
      <c r="AJ244" t="s">
        <v>80</v>
      </c>
      <c r="AK244">
        <v>14</v>
      </c>
      <c r="AL244">
        <v>30</v>
      </c>
      <c r="AM244" t="s">
        <v>84</v>
      </c>
      <c r="AN244" t="s">
        <v>80</v>
      </c>
      <c r="AO244" t="s">
        <v>80</v>
      </c>
      <c r="AP244" t="s">
        <v>80</v>
      </c>
      <c r="AQ244">
        <v>4</v>
      </c>
      <c r="AR244">
        <v>4</v>
      </c>
      <c r="AS244">
        <v>4</v>
      </c>
      <c r="AT244" t="s">
        <v>85</v>
      </c>
      <c r="AU244">
        <v>16</v>
      </c>
      <c r="AV244" t="s">
        <v>80</v>
      </c>
      <c r="AW244" t="s">
        <v>80</v>
      </c>
      <c r="AX244">
        <v>6</v>
      </c>
      <c r="AY244" t="s">
        <v>78</v>
      </c>
      <c r="AZ244" t="s">
        <v>80</v>
      </c>
      <c r="BA244">
        <v>7</v>
      </c>
      <c r="BB244">
        <v>7</v>
      </c>
      <c r="BC244" t="s">
        <v>80</v>
      </c>
      <c r="BD244">
        <v>7</v>
      </c>
      <c r="BE244">
        <v>3</v>
      </c>
      <c r="BF244">
        <v>8</v>
      </c>
      <c r="BG244" t="s">
        <v>86</v>
      </c>
      <c r="BH244" t="s">
        <v>104</v>
      </c>
      <c r="BI244">
        <v>7.2</v>
      </c>
      <c r="BJ244">
        <v>7.8</v>
      </c>
      <c r="BK244">
        <v>3.4</v>
      </c>
      <c r="BL244">
        <v>8.1999999999999993</v>
      </c>
    </row>
    <row r="245" spans="1:64" x14ac:dyDescent="0.25">
      <c r="A245" t="s">
        <v>542</v>
      </c>
      <c r="B245">
        <v>27</v>
      </c>
      <c r="C245" t="s">
        <v>154</v>
      </c>
      <c r="D245" t="s">
        <v>66</v>
      </c>
      <c r="E245" t="s">
        <v>97</v>
      </c>
      <c r="F245" t="s">
        <v>108</v>
      </c>
      <c r="G245" t="s">
        <v>109</v>
      </c>
      <c r="H245" t="s">
        <v>124</v>
      </c>
      <c r="I245" t="s">
        <v>543</v>
      </c>
      <c r="J245" t="s">
        <v>462</v>
      </c>
      <c r="K245" t="s">
        <v>73</v>
      </c>
      <c r="L245">
        <v>7.5</v>
      </c>
      <c r="M245">
        <v>7</v>
      </c>
      <c r="N245" t="s">
        <v>74</v>
      </c>
      <c r="O245" t="s">
        <v>93</v>
      </c>
      <c r="P245" t="s">
        <v>76</v>
      </c>
      <c r="Q245" t="s">
        <v>77</v>
      </c>
      <c r="R245" t="s">
        <v>78</v>
      </c>
      <c r="S245" t="s">
        <v>79</v>
      </c>
      <c r="T245" t="s">
        <v>79</v>
      </c>
      <c r="U245" t="s">
        <v>80</v>
      </c>
      <c r="V245" t="s">
        <v>80</v>
      </c>
      <c r="W245" t="s">
        <v>78</v>
      </c>
      <c r="X245" t="s">
        <v>81</v>
      </c>
      <c r="Y245">
        <v>11.5</v>
      </c>
      <c r="Z245">
        <v>5.5</v>
      </c>
      <c r="AA245" t="s">
        <v>82</v>
      </c>
      <c r="AB245" t="s">
        <v>83</v>
      </c>
      <c r="AC245">
        <v>0</v>
      </c>
      <c r="AD245">
        <v>9</v>
      </c>
      <c r="AE245">
        <v>5</v>
      </c>
      <c r="AF245">
        <v>8</v>
      </c>
      <c r="AG245">
        <v>8</v>
      </c>
      <c r="AH245">
        <v>9</v>
      </c>
      <c r="AI245" t="s">
        <v>80</v>
      </c>
      <c r="AJ245" t="s">
        <v>80</v>
      </c>
      <c r="AK245">
        <v>8</v>
      </c>
      <c r="AL245">
        <v>18</v>
      </c>
      <c r="AM245" t="s">
        <v>84</v>
      </c>
      <c r="AN245" t="s">
        <v>80</v>
      </c>
      <c r="AO245" t="s">
        <v>80</v>
      </c>
      <c r="AP245" t="s">
        <v>80</v>
      </c>
      <c r="AQ245">
        <v>3</v>
      </c>
      <c r="AR245">
        <v>3</v>
      </c>
      <c r="AS245">
        <v>3</v>
      </c>
      <c r="AT245" t="s">
        <v>85</v>
      </c>
      <c r="AU245">
        <v>9</v>
      </c>
      <c r="AV245" t="s">
        <v>80</v>
      </c>
      <c r="AW245" t="s">
        <v>80</v>
      </c>
      <c r="AX245">
        <v>8</v>
      </c>
      <c r="AY245" t="s">
        <v>78</v>
      </c>
      <c r="AZ245" t="s">
        <v>80</v>
      </c>
      <c r="BA245">
        <v>9</v>
      </c>
      <c r="BB245">
        <v>9</v>
      </c>
      <c r="BC245" t="s">
        <v>80</v>
      </c>
      <c r="BD245">
        <v>10</v>
      </c>
      <c r="BE245">
        <v>2</v>
      </c>
      <c r="BF245">
        <v>3</v>
      </c>
      <c r="BG245" t="s">
        <v>544</v>
      </c>
      <c r="BH245" t="s">
        <v>87</v>
      </c>
      <c r="BI245">
        <v>9.1999999999999993</v>
      </c>
      <c r="BJ245">
        <v>9.5</v>
      </c>
      <c r="BK245">
        <v>2</v>
      </c>
      <c r="BL245">
        <v>9.6999999999999993</v>
      </c>
    </row>
    <row r="246" spans="1:64" x14ac:dyDescent="0.25">
      <c r="A246" t="s">
        <v>545</v>
      </c>
      <c r="B246">
        <v>19</v>
      </c>
      <c r="C246" t="s">
        <v>106</v>
      </c>
      <c r="D246" t="s">
        <v>89</v>
      </c>
      <c r="E246" t="s">
        <v>546</v>
      </c>
      <c r="F246" t="s">
        <v>108</v>
      </c>
      <c r="G246" t="s">
        <v>109</v>
      </c>
      <c r="H246" t="s">
        <v>70</v>
      </c>
      <c r="I246" t="s">
        <v>71</v>
      </c>
      <c r="J246" t="s">
        <v>72</v>
      </c>
      <c r="K246" t="s">
        <v>73</v>
      </c>
      <c r="L246">
        <v>8</v>
      </c>
      <c r="M246">
        <v>5</v>
      </c>
      <c r="N246" t="s">
        <v>75</v>
      </c>
      <c r="O246" t="s">
        <v>93</v>
      </c>
      <c r="P246" t="s">
        <v>76</v>
      </c>
      <c r="Q246" t="s">
        <v>77</v>
      </c>
      <c r="R246" t="s">
        <v>78</v>
      </c>
      <c r="S246" t="s">
        <v>79</v>
      </c>
      <c r="T246" t="s">
        <v>102</v>
      </c>
      <c r="U246" t="s">
        <v>80</v>
      </c>
      <c r="V246" t="s">
        <v>80</v>
      </c>
      <c r="W246" t="s">
        <v>78</v>
      </c>
      <c r="X246" t="s">
        <v>547</v>
      </c>
      <c r="Y246">
        <v>12</v>
      </c>
      <c r="Z246">
        <v>5</v>
      </c>
      <c r="AA246" t="s">
        <v>94</v>
      </c>
      <c r="AB246" t="s">
        <v>83</v>
      </c>
      <c r="AC246">
        <v>6</v>
      </c>
      <c r="AD246">
        <v>10</v>
      </c>
      <c r="AE246">
        <v>5</v>
      </c>
      <c r="AF246">
        <v>9</v>
      </c>
      <c r="AG246">
        <v>7</v>
      </c>
      <c r="AH246">
        <v>8</v>
      </c>
      <c r="AI246" t="s">
        <v>80</v>
      </c>
      <c r="AJ246" t="s">
        <v>80</v>
      </c>
      <c r="AK246">
        <v>7</v>
      </c>
      <c r="AL246">
        <v>14</v>
      </c>
      <c r="AM246" t="s">
        <v>84</v>
      </c>
      <c r="AN246" t="s">
        <v>80</v>
      </c>
      <c r="AO246" t="s">
        <v>80</v>
      </c>
      <c r="AP246" t="s">
        <v>80</v>
      </c>
      <c r="AQ246">
        <v>3</v>
      </c>
      <c r="AR246">
        <v>2</v>
      </c>
      <c r="AS246">
        <v>3</v>
      </c>
      <c r="AT246" t="s">
        <v>85</v>
      </c>
      <c r="AU246">
        <v>8</v>
      </c>
      <c r="AV246" t="s">
        <v>80</v>
      </c>
      <c r="AW246" t="s">
        <v>80</v>
      </c>
      <c r="AX246">
        <v>9</v>
      </c>
      <c r="AY246" t="s">
        <v>78</v>
      </c>
      <c r="AZ246" t="s">
        <v>80</v>
      </c>
      <c r="BA246">
        <v>10</v>
      </c>
      <c r="BB246">
        <v>8</v>
      </c>
      <c r="BC246" t="s">
        <v>80</v>
      </c>
      <c r="BD246">
        <v>10</v>
      </c>
      <c r="BE246">
        <v>1</v>
      </c>
      <c r="BF246">
        <v>1</v>
      </c>
      <c r="BG246" t="s">
        <v>86</v>
      </c>
      <c r="BH246" t="s">
        <v>87</v>
      </c>
      <c r="BI246">
        <v>9.5</v>
      </c>
      <c r="BJ246">
        <v>9.8000000000000007</v>
      </c>
      <c r="BK246">
        <v>1.5</v>
      </c>
      <c r="BL246">
        <v>9.9</v>
      </c>
    </row>
    <row r="247" spans="1:64" x14ac:dyDescent="0.25">
      <c r="A247" t="s">
        <v>548</v>
      </c>
      <c r="B247">
        <v>42</v>
      </c>
      <c r="C247" t="s">
        <v>382</v>
      </c>
      <c r="D247" t="s">
        <v>66</v>
      </c>
      <c r="E247" t="s">
        <v>107</v>
      </c>
      <c r="F247" t="s">
        <v>141</v>
      </c>
      <c r="G247" t="s">
        <v>142</v>
      </c>
      <c r="H247" t="s">
        <v>279</v>
      </c>
      <c r="I247" t="s">
        <v>549</v>
      </c>
      <c r="J247" t="s">
        <v>193</v>
      </c>
      <c r="K247" t="s">
        <v>535</v>
      </c>
      <c r="L247">
        <v>5.5</v>
      </c>
      <c r="M247">
        <v>10</v>
      </c>
      <c r="N247" t="s">
        <v>74</v>
      </c>
      <c r="O247" t="s">
        <v>550</v>
      </c>
      <c r="P247" t="s">
        <v>100</v>
      </c>
      <c r="Q247" t="s">
        <v>101</v>
      </c>
      <c r="R247" t="s">
        <v>78</v>
      </c>
      <c r="S247" t="s">
        <v>111</v>
      </c>
      <c r="T247" t="s">
        <v>111</v>
      </c>
      <c r="U247" t="s">
        <v>80</v>
      </c>
      <c r="V247" t="s">
        <v>111</v>
      </c>
      <c r="W247" t="s">
        <v>102</v>
      </c>
      <c r="X247" t="s">
        <v>409</v>
      </c>
      <c r="Y247">
        <v>9.5</v>
      </c>
      <c r="Z247">
        <v>7</v>
      </c>
      <c r="AA247" t="s">
        <v>126</v>
      </c>
      <c r="AB247" t="s">
        <v>275</v>
      </c>
      <c r="AC247">
        <v>7.5</v>
      </c>
      <c r="AD247">
        <v>6</v>
      </c>
      <c r="AE247">
        <v>3</v>
      </c>
      <c r="AF247">
        <v>6</v>
      </c>
      <c r="AG247">
        <v>6</v>
      </c>
      <c r="AH247">
        <v>5</v>
      </c>
      <c r="AI247" t="s">
        <v>80</v>
      </c>
      <c r="AJ247" t="s">
        <v>111</v>
      </c>
      <c r="AK247">
        <v>16</v>
      </c>
      <c r="AL247">
        <v>38</v>
      </c>
      <c r="AM247" t="s">
        <v>131</v>
      </c>
      <c r="AN247" t="s">
        <v>111</v>
      </c>
      <c r="AO247" t="s">
        <v>111</v>
      </c>
      <c r="AP247" t="s">
        <v>111</v>
      </c>
      <c r="AQ247">
        <v>5</v>
      </c>
      <c r="AR247">
        <v>5</v>
      </c>
      <c r="AS247">
        <v>5</v>
      </c>
      <c r="AT247" t="s">
        <v>131</v>
      </c>
      <c r="AU247">
        <v>22</v>
      </c>
      <c r="AV247" t="s">
        <v>80</v>
      </c>
      <c r="AW247" t="s">
        <v>111</v>
      </c>
      <c r="AX247">
        <v>5</v>
      </c>
      <c r="AY247" t="s">
        <v>102</v>
      </c>
      <c r="AZ247" t="s">
        <v>111</v>
      </c>
      <c r="BA247">
        <v>5</v>
      </c>
      <c r="BB247">
        <v>5</v>
      </c>
      <c r="BC247" t="s">
        <v>111</v>
      </c>
      <c r="BD247">
        <v>5</v>
      </c>
      <c r="BE247">
        <v>4</v>
      </c>
      <c r="BF247">
        <v>12</v>
      </c>
      <c r="BG247" t="s">
        <v>551</v>
      </c>
      <c r="BH247" t="s">
        <v>131</v>
      </c>
      <c r="BI247">
        <v>5.8</v>
      </c>
      <c r="BJ247">
        <v>6.4</v>
      </c>
      <c r="BK247">
        <v>4.5999999999999996</v>
      </c>
      <c r="BL247">
        <v>6.8</v>
      </c>
    </row>
    <row r="248" spans="1:64" x14ac:dyDescent="0.25">
      <c r="A248" t="s">
        <v>552</v>
      </c>
      <c r="B248">
        <v>29</v>
      </c>
      <c r="C248" t="s">
        <v>278</v>
      </c>
      <c r="D248" t="s">
        <v>540</v>
      </c>
      <c r="E248" t="s">
        <v>114</v>
      </c>
      <c r="F248" t="s">
        <v>115</v>
      </c>
      <c r="G248" t="s">
        <v>116</v>
      </c>
      <c r="H248" t="s">
        <v>279</v>
      </c>
      <c r="I248" t="s">
        <v>166</v>
      </c>
      <c r="J248" t="s">
        <v>167</v>
      </c>
      <c r="K248" t="s">
        <v>143</v>
      </c>
      <c r="L248">
        <v>4.5</v>
      </c>
      <c r="M248">
        <v>7</v>
      </c>
      <c r="N248" t="s">
        <v>130</v>
      </c>
      <c r="O248" t="s">
        <v>110</v>
      </c>
      <c r="P248" t="s">
        <v>100</v>
      </c>
      <c r="Q248" t="s">
        <v>101</v>
      </c>
      <c r="R248" t="s">
        <v>111</v>
      </c>
      <c r="S248" t="s">
        <v>111</v>
      </c>
      <c r="T248" t="s">
        <v>111</v>
      </c>
      <c r="U248" t="s">
        <v>80</v>
      </c>
      <c r="V248" t="s">
        <v>111</v>
      </c>
      <c r="W248" t="s">
        <v>111</v>
      </c>
      <c r="X248" t="s">
        <v>553</v>
      </c>
      <c r="Y248">
        <v>8.5</v>
      </c>
      <c r="Z248">
        <v>7.5</v>
      </c>
      <c r="AA248" t="s">
        <v>126</v>
      </c>
      <c r="AB248" t="s">
        <v>103</v>
      </c>
      <c r="AC248">
        <v>8.5</v>
      </c>
      <c r="AD248">
        <v>5</v>
      </c>
      <c r="AE248">
        <v>3</v>
      </c>
      <c r="AF248">
        <v>5</v>
      </c>
      <c r="AG248">
        <v>4</v>
      </c>
      <c r="AH248">
        <v>4</v>
      </c>
      <c r="AI248" t="s">
        <v>111</v>
      </c>
      <c r="AJ248" t="s">
        <v>111</v>
      </c>
      <c r="AK248">
        <v>20</v>
      </c>
      <c r="AL248">
        <v>50</v>
      </c>
      <c r="AM248" t="s">
        <v>131</v>
      </c>
      <c r="AN248" t="s">
        <v>111</v>
      </c>
      <c r="AO248" t="s">
        <v>111</v>
      </c>
      <c r="AP248" t="s">
        <v>111</v>
      </c>
      <c r="AQ248">
        <v>5</v>
      </c>
      <c r="AR248">
        <v>5</v>
      </c>
      <c r="AS248">
        <v>5</v>
      </c>
      <c r="AT248" t="s">
        <v>131</v>
      </c>
      <c r="AU248">
        <v>26</v>
      </c>
      <c r="AV248" t="s">
        <v>80</v>
      </c>
      <c r="AW248" t="s">
        <v>111</v>
      </c>
      <c r="AX248">
        <v>4</v>
      </c>
      <c r="AY248" t="s">
        <v>111</v>
      </c>
      <c r="AZ248" t="s">
        <v>111</v>
      </c>
      <c r="BA248">
        <v>4</v>
      </c>
      <c r="BB248">
        <v>4</v>
      </c>
      <c r="BC248" t="s">
        <v>111</v>
      </c>
      <c r="BD248">
        <v>4</v>
      </c>
      <c r="BE248">
        <v>5</v>
      </c>
      <c r="BF248">
        <v>16</v>
      </c>
      <c r="BG248" t="s">
        <v>554</v>
      </c>
      <c r="BH248" t="s">
        <v>171</v>
      </c>
      <c r="BI248">
        <v>5</v>
      </c>
      <c r="BJ248">
        <v>5.6</v>
      </c>
      <c r="BK248">
        <v>5.0999999999999996</v>
      </c>
      <c r="BL248">
        <v>6</v>
      </c>
    </row>
    <row r="249" spans="1:64" x14ac:dyDescent="0.25">
      <c r="A249" t="s">
        <v>555</v>
      </c>
      <c r="B249">
        <v>16</v>
      </c>
      <c r="C249" t="s">
        <v>65</v>
      </c>
      <c r="D249" t="s">
        <v>66</v>
      </c>
      <c r="E249" t="s">
        <v>67</v>
      </c>
      <c r="F249" t="s">
        <v>68</v>
      </c>
      <c r="G249" t="s">
        <v>69</v>
      </c>
      <c r="H249" t="s">
        <v>70</v>
      </c>
      <c r="I249" t="s">
        <v>71</v>
      </c>
      <c r="J249" t="s">
        <v>72</v>
      </c>
      <c r="K249" t="s">
        <v>73</v>
      </c>
      <c r="L249">
        <v>9</v>
      </c>
      <c r="M249">
        <v>4</v>
      </c>
      <c r="N249" t="s">
        <v>74</v>
      </c>
      <c r="O249" t="s">
        <v>75</v>
      </c>
      <c r="P249" t="s">
        <v>76</v>
      </c>
      <c r="Q249" t="s">
        <v>77</v>
      </c>
      <c r="R249" t="s">
        <v>78</v>
      </c>
      <c r="S249" t="s">
        <v>79</v>
      </c>
      <c r="T249" t="s">
        <v>79</v>
      </c>
      <c r="U249" t="s">
        <v>80</v>
      </c>
      <c r="V249" t="s">
        <v>80</v>
      </c>
      <c r="W249" t="s">
        <v>78</v>
      </c>
      <c r="X249" t="s">
        <v>81</v>
      </c>
      <c r="Y249">
        <v>13</v>
      </c>
      <c r="Z249">
        <v>4.5</v>
      </c>
      <c r="AA249" t="s">
        <v>94</v>
      </c>
      <c r="AB249" t="s">
        <v>83</v>
      </c>
      <c r="AC249">
        <v>5.5</v>
      </c>
      <c r="AD249">
        <v>10</v>
      </c>
      <c r="AE249">
        <v>5</v>
      </c>
      <c r="AF249">
        <v>10</v>
      </c>
      <c r="AG249">
        <v>9</v>
      </c>
      <c r="AH249">
        <v>10</v>
      </c>
      <c r="AI249" t="s">
        <v>80</v>
      </c>
      <c r="AJ249" t="s">
        <v>80</v>
      </c>
      <c r="AK249">
        <v>5</v>
      </c>
      <c r="AL249">
        <v>10</v>
      </c>
      <c r="AM249" t="s">
        <v>84</v>
      </c>
      <c r="AN249" t="s">
        <v>80</v>
      </c>
      <c r="AO249" t="s">
        <v>80</v>
      </c>
      <c r="AP249" t="s">
        <v>80</v>
      </c>
      <c r="AQ249">
        <v>2</v>
      </c>
      <c r="AR249">
        <v>2</v>
      </c>
      <c r="AS249">
        <v>2</v>
      </c>
      <c r="AT249" t="s">
        <v>556</v>
      </c>
      <c r="AU249">
        <v>5</v>
      </c>
      <c r="AV249" t="s">
        <v>80</v>
      </c>
      <c r="AW249" t="s">
        <v>80</v>
      </c>
      <c r="AX249">
        <v>10</v>
      </c>
      <c r="AY249" t="s">
        <v>78</v>
      </c>
      <c r="AZ249" t="s">
        <v>80</v>
      </c>
      <c r="BA249">
        <v>10</v>
      </c>
      <c r="BB249">
        <v>10</v>
      </c>
      <c r="BC249" t="s">
        <v>80</v>
      </c>
      <c r="BD249">
        <v>10</v>
      </c>
      <c r="BE249">
        <v>1</v>
      </c>
      <c r="BF249">
        <v>1</v>
      </c>
      <c r="BG249" t="s">
        <v>136</v>
      </c>
      <c r="BH249" t="s">
        <v>87</v>
      </c>
      <c r="BI249">
        <v>9.8000000000000007</v>
      </c>
      <c r="BJ249">
        <v>10</v>
      </c>
      <c r="BK249">
        <v>1.2</v>
      </c>
      <c r="BL249">
        <v>10</v>
      </c>
    </row>
    <row r="250" spans="1:64" x14ac:dyDescent="0.25">
      <c r="A250" t="s">
        <v>557</v>
      </c>
      <c r="B250">
        <v>23</v>
      </c>
      <c r="C250" t="s">
        <v>106</v>
      </c>
      <c r="D250" t="s">
        <v>89</v>
      </c>
      <c r="E250" t="s">
        <v>90</v>
      </c>
      <c r="F250" t="s">
        <v>157</v>
      </c>
      <c r="G250" t="s">
        <v>158</v>
      </c>
      <c r="H250" t="s">
        <v>124</v>
      </c>
      <c r="I250" t="s">
        <v>71</v>
      </c>
      <c r="J250" t="s">
        <v>72</v>
      </c>
      <c r="K250" t="s">
        <v>73</v>
      </c>
      <c r="L250">
        <v>8.5</v>
      </c>
      <c r="M250">
        <v>6</v>
      </c>
      <c r="N250" t="s">
        <v>75</v>
      </c>
      <c r="O250" t="s">
        <v>93</v>
      </c>
      <c r="P250" t="s">
        <v>76</v>
      </c>
      <c r="Q250" t="s">
        <v>77</v>
      </c>
      <c r="R250" t="s">
        <v>78</v>
      </c>
      <c r="S250" t="s">
        <v>79</v>
      </c>
      <c r="T250" t="s">
        <v>79</v>
      </c>
      <c r="U250" t="s">
        <v>80</v>
      </c>
      <c r="V250" t="s">
        <v>80</v>
      </c>
      <c r="W250" t="s">
        <v>78</v>
      </c>
      <c r="X250" t="s">
        <v>547</v>
      </c>
      <c r="Y250">
        <v>12.5</v>
      </c>
      <c r="Z250">
        <v>5</v>
      </c>
      <c r="AA250" t="s">
        <v>94</v>
      </c>
      <c r="AB250" t="s">
        <v>83</v>
      </c>
      <c r="AC250">
        <v>5.5</v>
      </c>
      <c r="AD250">
        <v>10</v>
      </c>
      <c r="AE250">
        <v>5</v>
      </c>
      <c r="AF250">
        <v>9</v>
      </c>
      <c r="AG250">
        <v>8</v>
      </c>
      <c r="AH250">
        <v>8</v>
      </c>
      <c r="AI250" t="s">
        <v>80</v>
      </c>
      <c r="AJ250" t="s">
        <v>80</v>
      </c>
      <c r="AK250">
        <v>6</v>
      </c>
      <c r="AL250">
        <v>12</v>
      </c>
      <c r="AM250" t="s">
        <v>84</v>
      </c>
      <c r="AN250" t="s">
        <v>80</v>
      </c>
      <c r="AO250" t="s">
        <v>80</v>
      </c>
      <c r="AP250" t="s">
        <v>80</v>
      </c>
      <c r="AQ250">
        <v>2</v>
      </c>
      <c r="AR250">
        <v>2</v>
      </c>
      <c r="AS250">
        <v>2</v>
      </c>
      <c r="AT250" t="s">
        <v>556</v>
      </c>
      <c r="AU250">
        <v>6</v>
      </c>
      <c r="AV250" t="s">
        <v>80</v>
      </c>
      <c r="AW250" t="s">
        <v>80</v>
      </c>
      <c r="AX250">
        <v>9</v>
      </c>
      <c r="AY250" t="s">
        <v>78</v>
      </c>
      <c r="AZ250" t="s">
        <v>80</v>
      </c>
      <c r="BA250">
        <v>10</v>
      </c>
      <c r="BB250">
        <v>9</v>
      </c>
      <c r="BC250" t="s">
        <v>80</v>
      </c>
      <c r="BD250">
        <v>10</v>
      </c>
      <c r="BE250">
        <v>1</v>
      </c>
      <c r="BF250">
        <v>1</v>
      </c>
      <c r="BG250" t="s">
        <v>558</v>
      </c>
      <c r="BH250" t="s">
        <v>87</v>
      </c>
      <c r="BI250">
        <v>9.6</v>
      </c>
      <c r="BJ250">
        <v>9.9</v>
      </c>
      <c r="BK250">
        <v>1.4</v>
      </c>
      <c r="BL250">
        <v>9.9</v>
      </c>
    </row>
    <row r="251" spans="1:64" x14ac:dyDescent="0.25">
      <c r="A251" t="s">
        <v>559</v>
      </c>
      <c r="B251">
        <v>35</v>
      </c>
      <c r="C251" t="s">
        <v>278</v>
      </c>
      <c r="D251" t="s">
        <v>66</v>
      </c>
      <c r="E251" t="s">
        <v>97</v>
      </c>
      <c r="F251" t="s">
        <v>108</v>
      </c>
      <c r="G251" t="s">
        <v>109</v>
      </c>
      <c r="H251" t="s">
        <v>124</v>
      </c>
      <c r="I251" t="s">
        <v>166</v>
      </c>
      <c r="J251" t="s">
        <v>285</v>
      </c>
      <c r="K251" t="s">
        <v>290</v>
      </c>
      <c r="L251">
        <v>3.5</v>
      </c>
      <c r="M251">
        <v>8</v>
      </c>
      <c r="N251" t="s">
        <v>135</v>
      </c>
      <c r="O251" t="s">
        <v>74</v>
      </c>
      <c r="P251" t="s">
        <v>100</v>
      </c>
      <c r="Q251" t="s">
        <v>101</v>
      </c>
      <c r="R251" t="s">
        <v>111</v>
      </c>
      <c r="S251" t="s">
        <v>111</v>
      </c>
      <c r="T251" t="s">
        <v>111</v>
      </c>
      <c r="U251" t="s">
        <v>80</v>
      </c>
      <c r="V251" t="s">
        <v>111</v>
      </c>
      <c r="W251" t="s">
        <v>111</v>
      </c>
      <c r="X251" t="s">
        <v>560</v>
      </c>
      <c r="Y251">
        <v>7.5</v>
      </c>
      <c r="Z251">
        <v>7.5</v>
      </c>
      <c r="AA251" t="s">
        <v>266</v>
      </c>
      <c r="AB251" t="s">
        <v>275</v>
      </c>
      <c r="AC251">
        <v>8.5</v>
      </c>
      <c r="AD251">
        <v>4</v>
      </c>
      <c r="AE251">
        <v>2</v>
      </c>
      <c r="AF251">
        <v>4</v>
      </c>
      <c r="AG251">
        <v>4</v>
      </c>
      <c r="AH251">
        <v>3</v>
      </c>
      <c r="AI251" t="s">
        <v>111</v>
      </c>
      <c r="AJ251" t="s">
        <v>111</v>
      </c>
      <c r="AK251">
        <v>24</v>
      </c>
      <c r="AL251">
        <v>60</v>
      </c>
      <c r="AM251" t="s">
        <v>131</v>
      </c>
      <c r="AN251" t="s">
        <v>111</v>
      </c>
      <c r="AO251" t="s">
        <v>111</v>
      </c>
      <c r="AP251" t="s">
        <v>274</v>
      </c>
      <c r="AQ251">
        <v>6</v>
      </c>
      <c r="AR251">
        <v>6</v>
      </c>
      <c r="AS251">
        <v>6</v>
      </c>
      <c r="AT251" t="s">
        <v>266</v>
      </c>
      <c r="AU251">
        <v>35</v>
      </c>
      <c r="AV251" t="s">
        <v>111</v>
      </c>
      <c r="AW251" t="s">
        <v>274</v>
      </c>
      <c r="AX251">
        <v>3</v>
      </c>
      <c r="AY251" t="s">
        <v>274</v>
      </c>
      <c r="AZ251" t="s">
        <v>111</v>
      </c>
      <c r="BA251">
        <v>3</v>
      </c>
      <c r="BB251">
        <v>3</v>
      </c>
      <c r="BC251" t="s">
        <v>274</v>
      </c>
      <c r="BD251">
        <v>3</v>
      </c>
      <c r="BE251">
        <v>6</v>
      </c>
      <c r="BF251">
        <v>22</v>
      </c>
      <c r="BG251" t="s">
        <v>152</v>
      </c>
      <c r="BH251" t="s">
        <v>281</v>
      </c>
      <c r="BI251">
        <v>3.2</v>
      </c>
      <c r="BJ251">
        <v>3.8</v>
      </c>
      <c r="BK251">
        <v>7</v>
      </c>
      <c r="BL251">
        <v>4</v>
      </c>
    </row>
    <row r="252" spans="1:64" x14ac:dyDescent="0.25">
      <c r="A252" t="s">
        <v>561</v>
      </c>
      <c r="B252">
        <v>18</v>
      </c>
      <c r="C252" t="s">
        <v>106</v>
      </c>
      <c r="D252" t="s">
        <v>66</v>
      </c>
      <c r="E252" t="s">
        <v>107</v>
      </c>
      <c r="F252" t="s">
        <v>108</v>
      </c>
      <c r="G252" t="s">
        <v>109</v>
      </c>
      <c r="H252" t="s">
        <v>70</v>
      </c>
      <c r="I252" t="s">
        <v>71</v>
      </c>
      <c r="J252" t="s">
        <v>72</v>
      </c>
      <c r="K252" t="s">
        <v>73</v>
      </c>
      <c r="L252">
        <v>9</v>
      </c>
      <c r="M252">
        <v>5</v>
      </c>
      <c r="N252" t="s">
        <v>74</v>
      </c>
      <c r="O252" t="s">
        <v>93</v>
      </c>
      <c r="P252" t="s">
        <v>76</v>
      </c>
      <c r="Q252" t="s">
        <v>77</v>
      </c>
      <c r="R252" t="s">
        <v>78</v>
      </c>
      <c r="S252" t="s">
        <v>79</v>
      </c>
      <c r="T252" t="s">
        <v>79</v>
      </c>
      <c r="U252" t="s">
        <v>80</v>
      </c>
      <c r="V252" t="s">
        <v>80</v>
      </c>
      <c r="W252" t="s">
        <v>78</v>
      </c>
      <c r="X252" t="s">
        <v>81</v>
      </c>
      <c r="Y252">
        <v>13</v>
      </c>
      <c r="Z252">
        <v>4.5</v>
      </c>
      <c r="AA252" t="s">
        <v>94</v>
      </c>
      <c r="AB252" t="s">
        <v>83</v>
      </c>
      <c r="AC252">
        <v>6</v>
      </c>
      <c r="AD252">
        <v>10</v>
      </c>
      <c r="AE252">
        <v>5</v>
      </c>
      <c r="AF252">
        <v>10</v>
      </c>
      <c r="AG252">
        <v>10</v>
      </c>
      <c r="AH252">
        <v>10</v>
      </c>
      <c r="AI252" t="s">
        <v>80</v>
      </c>
      <c r="AJ252" t="s">
        <v>80</v>
      </c>
      <c r="AK252">
        <v>5</v>
      </c>
      <c r="AL252">
        <v>10</v>
      </c>
      <c r="AM252" t="s">
        <v>84</v>
      </c>
      <c r="AN252" t="s">
        <v>80</v>
      </c>
      <c r="AO252" t="s">
        <v>80</v>
      </c>
      <c r="AP252" t="s">
        <v>80</v>
      </c>
      <c r="AQ252">
        <v>2</v>
      </c>
      <c r="AR252">
        <v>2</v>
      </c>
      <c r="AS252">
        <v>2</v>
      </c>
      <c r="AT252" t="s">
        <v>556</v>
      </c>
      <c r="AU252">
        <v>5</v>
      </c>
      <c r="AV252" t="s">
        <v>80</v>
      </c>
      <c r="AW252" t="s">
        <v>80</v>
      </c>
      <c r="AX252">
        <v>10</v>
      </c>
      <c r="AY252" t="s">
        <v>78</v>
      </c>
      <c r="AZ252" t="s">
        <v>80</v>
      </c>
      <c r="BA252">
        <v>10</v>
      </c>
      <c r="BB252">
        <v>10</v>
      </c>
      <c r="BC252" t="s">
        <v>80</v>
      </c>
      <c r="BD252">
        <v>10</v>
      </c>
      <c r="BE252">
        <v>1</v>
      </c>
      <c r="BF252">
        <v>1</v>
      </c>
      <c r="BG252" t="s">
        <v>136</v>
      </c>
      <c r="BH252" t="s">
        <v>87</v>
      </c>
      <c r="BI252">
        <v>9.9</v>
      </c>
      <c r="BJ252">
        <v>10</v>
      </c>
      <c r="BK252">
        <v>1.1000000000000001</v>
      </c>
      <c r="BL252">
        <v>10</v>
      </c>
    </row>
    <row r="253" spans="1:64" x14ac:dyDescent="0.25">
      <c r="A253" t="s">
        <v>562</v>
      </c>
      <c r="B253">
        <v>31</v>
      </c>
      <c r="C253" t="s">
        <v>278</v>
      </c>
      <c r="D253" t="s">
        <v>89</v>
      </c>
      <c r="E253" t="s">
        <v>67</v>
      </c>
      <c r="F253" t="s">
        <v>68</v>
      </c>
      <c r="G253" t="s">
        <v>69</v>
      </c>
      <c r="H253" t="s">
        <v>279</v>
      </c>
      <c r="I253" t="s">
        <v>166</v>
      </c>
      <c r="J253" t="s">
        <v>167</v>
      </c>
      <c r="K253" t="s">
        <v>73</v>
      </c>
      <c r="L253">
        <v>6.5</v>
      </c>
      <c r="M253">
        <v>9</v>
      </c>
      <c r="N253" t="s">
        <v>75</v>
      </c>
      <c r="O253" t="s">
        <v>110</v>
      </c>
      <c r="P253" t="s">
        <v>100</v>
      </c>
      <c r="Q253" t="s">
        <v>101</v>
      </c>
      <c r="R253" t="s">
        <v>78</v>
      </c>
      <c r="S253" t="s">
        <v>102</v>
      </c>
      <c r="T253" t="s">
        <v>111</v>
      </c>
      <c r="U253" t="s">
        <v>80</v>
      </c>
      <c r="V253" t="s">
        <v>80</v>
      </c>
      <c r="W253" t="s">
        <v>102</v>
      </c>
      <c r="X253" t="s">
        <v>563</v>
      </c>
      <c r="Y253">
        <v>10.5</v>
      </c>
      <c r="Z253">
        <v>6.5</v>
      </c>
      <c r="AA253" t="s">
        <v>126</v>
      </c>
      <c r="AB253" t="s">
        <v>103</v>
      </c>
      <c r="AC253">
        <v>8.5</v>
      </c>
      <c r="AD253">
        <v>7</v>
      </c>
      <c r="AE253">
        <v>4</v>
      </c>
      <c r="AF253">
        <v>6</v>
      </c>
      <c r="AG253">
        <v>5</v>
      </c>
      <c r="AH253">
        <v>5</v>
      </c>
      <c r="AI253" t="s">
        <v>80</v>
      </c>
      <c r="AJ253" t="s">
        <v>111</v>
      </c>
      <c r="AK253">
        <v>15</v>
      </c>
      <c r="AL253">
        <v>35</v>
      </c>
      <c r="AM253" t="s">
        <v>131</v>
      </c>
      <c r="AN253" t="s">
        <v>80</v>
      </c>
      <c r="AO253" t="s">
        <v>80</v>
      </c>
      <c r="AP253" t="s">
        <v>111</v>
      </c>
      <c r="AQ253">
        <v>5</v>
      </c>
      <c r="AR253">
        <v>4</v>
      </c>
      <c r="AS253">
        <v>5</v>
      </c>
      <c r="AT253" t="s">
        <v>131</v>
      </c>
      <c r="AU253">
        <v>20</v>
      </c>
      <c r="AV253" t="s">
        <v>80</v>
      </c>
      <c r="AW253" t="s">
        <v>80</v>
      </c>
      <c r="AX253">
        <v>5</v>
      </c>
      <c r="AY253" t="s">
        <v>102</v>
      </c>
      <c r="AZ253" t="s">
        <v>80</v>
      </c>
      <c r="BA253">
        <v>7</v>
      </c>
      <c r="BB253">
        <v>6</v>
      </c>
      <c r="BC253" t="s">
        <v>111</v>
      </c>
      <c r="BD253">
        <v>7</v>
      </c>
      <c r="BE253">
        <v>4</v>
      </c>
      <c r="BF253">
        <v>10</v>
      </c>
      <c r="BG253" t="s">
        <v>86</v>
      </c>
      <c r="BH253" t="s">
        <v>131</v>
      </c>
      <c r="BI253">
        <v>6.2</v>
      </c>
      <c r="BJ253">
        <v>6.8</v>
      </c>
      <c r="BK253">
        <v>4.2</v>
      </c>
      <c r="BL253">
        <v>7.2</v>
      </c>
    </row>
    <row r="254" spans="1:64" x14ac:dyDescent="0.25">
      <c r="A254" t="s">
        <v>564</v>
      </c>
      <c r="B254">
        <v>25</v>
      </c>
      <c r="C254" t="s">
        <v>154</v>
      </c>
      <c r="D254" t="s">
        <v>540</v>
      </c>
      <c r="E254" t="s">
        <v>107</v>
      </c>
      <c r="F254" t="s">
        <v>122</v>
      </c>
      <c r="G254" t="s">
        <v>123</v>
      </c>
      <c r="H254" t="s">
        <v>124</v>
      </c>
      <c r="I254" t="s">
        <v>178</v>
      </c>
      <c r="J254" t="s">
        <v>193</v>
      </c>
      <c r="K254" t="s">
        <v>73</v>
      </c>
      <c r="L254">
        <v>5.5</v>
      </c>
      <c r="M254">
        <v>6</v>
      </c>
      <c r="N254" t="s">
        <v>93</v>
      </c>
      <c r="O254" t="s">
        <v>74</v>
      </c>
      <c r="P254" t="s">
        <v>100</v>
      </c>
      <c r="Q254" t="s">
        <v>101</v>
      </c>
      <c r="R254" t="s">
        <v>78</v>
      </c>
      <c r="S254" t="s">
        <v>102</v>
      </c>
      <c r="T254" t="s">
        <v>111</v>
      </c>
      <c r="U254" t="s">
        <v>80</v>
      </c>
      <c r="V254" t="s">
        <v>80</v>
      </c>
      <c r="W254" t="s">
        <v>102</v>
      </c>
      <c r="X254" t="s">
        <v>565</v>
      </c>
      <c r="Y254">
        <v>9.5</v>
      </c>
      <c r="Z254">
        <v>7</v>
      </c>
      <c r="AA254" t="s">
        <v>126</v>
      </c>
      <c r="AB254" t="s">
        <v>103</v>
      </c>
      <c r="AC254">
        <v>6</v>
      </c>
      <c r="AD254">
        <v>7</v>
      </c>
      <c r="AE254">
        <v>4</v>
      </c>
      <c r="AF254">
        <v>6</v>
      </c>
      <c r="AG254">
        <v>6</v>
      </c>
      <c r="AH254">
        <v>6</v>
      </c>
      <c r="AI254" t="s">
        <v>80</v>
      </c>
      <c r="AJ254" t="s">
        <v>80</v>
      </c>
      <c r="AK254">
        <v>14</v>
      </c>
      <c r="AL254">
        <v>32</v>
      </c>
      <c r="AM254" t="s">
        <v>131</v>
      </c>
      <c r="AN254" t="s">
        <v>80</v>
      </c>
      <c r="AO254" t="s">
        <v>80</v>
      </c>
      <c r="AP254" t="s">
        <v>111</v>
      </c>
      <c r="AQ254">
        <v>4</v>
      </c>
      <c r="AR254">
        <v>4</v>
      </c>
      <c r="AS254">
        <v>4</v>
      </c>
      <c r="AT254" t="s">
        <v>131</v>
      </c>
      <c r="AU254">
        <v>16</v>
      </c>
      <c r="AV254" t="s">
        <v>80</v>
      </c>
      <c r="AW254" t="s">
        <v>80</v>
      </c>
      <c r="AX254">
        <v>6</v>
      </c>
      <c r="AY254" t="s">
        <v>102</v>
      </c>
      <c r="AZ254" t="s">
        <v>80</v>
      </c>
      <c r="BA254">
        <v>7</v>
      </c>
      <c r="BB254">
        <v>7</v>
      </c>
      <c r="BC254" t="s">
        <v>80</v>
      </c>
      <c r="BD254">
        <v>7</v>
      </c>
      <c r="BE254">
        <v>3</v>
      </c>
      <c r="BF254">
        <v>8</v>
      </c>
      <c r="BG254" t="s">
        <v>117</v>
      </c>
      <c r="BH254" t="s">
        <v>104</v>
      </c>
      <c r="BI254">
        <v>7.2</v>
      </c>
      <c r="BJ254">
        <v>7.7</v>
      </c>
      <c r="BK254">
        <v>3.5</v>
      </c>
      <c r="BL254">
        <v>8.1</v>
      </c>
    </row>
    <row r="255" spans="1:64" x14ac:dyDescent="0.25">
      <c r="A255" t="s">
        <v>566</v>
      </c>
      <c r="B255">
        <v>40</v>
      </c>
      <c r="C255" t="s">
        <v>382</v>
      </c>
      <c r="D255" t="s">
        <v>89</v>
      </c>
      <c r="E255" t="s">
        <v>114</v>
      </c>
      <c r="F255" t="s">
        <v>145</v>
      </c>
      <c r="G255" t="s">
        <v>146</v>
      </c>
      <c r="H255" t="s">
        <v>124</v>
      </c>
      <c r="I255" t="s">
        <v>567</v>
      </c>
      <c r="J255" t="s">
        <v>193</v>
      </c>
      <c r="K255" t="s">
        <v>535</v>
      </c>
      <c r="L255">
        <v>6</v>
      </c>
      <c r="M255">
        <v>10</v>
      </c>
      <c r="N255" t="s">
        <v>74</v>
      </c>
      <c r="O255" t="s">
        <v>75</v>
      </c>
      <c r="P255" t="s">
        <v>100</v>
      </c>
      <c r="Q255" t="s">
        <v>101</v>
      </c>
      <c r="R255" t="s">
        <v>102</v>
      </c>
      <c r="S255" t="s">
        <v>102</v>
      </c>
      <c r="T255" t="s">
        <v>111</v>
      </c>
      <c r="U255" t="s">
        <v>80</v>
      </c>
      <c r="V255" t="s">
        <v>80</v>
      </c>
      <c r="W255" t="s">
        <v>102</v>
      </c>
      <c r="X255" t="s">
        <v>331</v>
      </c>
      <c r="Y255">
        <v>10</v>
      </c>
      <c r="Z255">
        <v>6.5</v>
      </c>
      <c r="AA255" t="s">
        <v>126</v>
      </c>
      <c r="AB255" t="s">
        <v>103</v>
      </c>
      <c r="AC255">
        <v>6.5</v>
      </c>
      <c r="AD255">
        <v>7</v>
      </c>
      <c r="AE255">
        <v>4</v>
      </c>
      <c r="AF255">
        <v>6</v>
      </c>
      <c r="AG255">
        <v>5</v>
      </c>
      <c r="AH255">
        <v>6</v>
      </c>
      <c r="AI255" t="s">
        <v>80</v>
      </c>
      <c r="AJ255" t="s">
        <v>111</v>
      </c>
      <c r="AK255">
        <v>15</v>
      </c>
      <c r="AL255">
        <v>35</v>
      </c>
      <c r="AM255" t="s">
        <v>131</v>
      </c>
      <c r="AN255" t="s">
        <v>111</v>
      </c>
      <c r="AO255" t="s">
        <v>80</v>
      </c>
      <c r="AP255" t="s">
        <v>111</v>
      </c>
      <c r="AQ255">
        <v>5</v>
      </c>
      <c r="AR255">
        <v>4</v>
      </c>
      <c r="AS255">
        <v>5</v>
      </c>
      <c r="AT255" t="s">
        <v>131</v>
      </c>
      <c r="AU255">
        <v>20</v>
      </c>
      <c r="AV255" t="s">
        <v>80</v>
      </c>
      <c r="AW255" t="s">
        <v>80</v>
      </c>
      <c r="AX255">
        <v>5</v>
      </c>
      <c r="AY255" t="s">
        <v>102</v>
      </c>
      <c r="AZ255" t="s">
        <v>80</v>
      </c>
      <c r="BA255">
        <v>7</v>
      </c>
      <c r="BB255">
        <v>6</v>
      </c>
      <c r="BC255" t="s">
        <v>111</v>
      </c>
      <c r="BD255">
        <v>7</v>
      </c>
      <c r="BE255">
        <v>4</v>
      </c>
      <c r="BF255">
        <v>12</v>
      </c>
      <c r="BG255" t="s">
        <v>568</v>
      </c>
      <c r="BH255" t="s">
        <v>131</v>
      </c>
      <c r="BI255">
        <v>6.5</v>
      </c>
      <c r="BJ255">
        <v>7</v>
      </c>
      <c r="BK255">
        <v>3.9</v>
      </c>
      <c r="BL255">
        <v>7.4</v>
      </c>
    </row>
    <row r="256" spans="1:64" x14ac:dyDescent="0.25">
      <c r="A256" t="s">
        <v>569</v>
      </c>
      <c r="B256">
        <v>22</v>
      </c>
      <c r="C256" t="s">
        <v>106</v>
      </c>
      <c r="D256" t="s">
        <v>66</v>
      </c>
      <c r="E256" t="s">
        <v>97</v>
      </c>
      <c r="F256" t="s">
        <v>98</v>
      </c>
      <c r="G256" t="s">
        <v>99</v>
      </c>
      <c r="H256" t="s">
        <v>124</v>
      </c>
      <c r="I256" t="s">
        <v>71</v>
      </c>
      <c r="J256" t="s">
        <v>72</v>
      </c>
      <c r="K256" t="s">
        <v>73</v>
      </c>
      <c r="L256">
        <v>8</v>
      </c>
      <c r="M256">
        <v>5</v>
      </c>
      <c r="N256" t="s">
        <v>93</v>
      </c>
      <c r="O256" t="s">
        <v>74</v>
      </c>
      <c r="P256" t="s">
        <v>76</v>
      </c>
      <c r="Q256" t="s">
        <v>77</v>
      </c>
      <c r="R256" t="s">
        <v>78</v>
      </c>
      <c r="S256" t="s">
        <v>79</v>
      </c>
      <c r="T256" t="s">
        <v>102</v>
      </c>
      <c r="U256" t="s">
        <v>80</v>
      </c>
      <c r="V256" t="s">
        <v>80</v>
      </c>
      <c r="W256" t="s">
        <v>78</v>
      </c>
      <c r="X256" t="s">
        <v>570</v>
      </c>
      <c r="Y256">
        <v>12</v>
      </c>
      <c r="Z256">
        <v>5.5</v>
      </c>
      <c r="AA256" t="s">
        <v>82</v>
      </c>
      <c r="AB256" t="s">
        <v>83</v>
      </c>
      <c r="AC256">
        <v>5.5</v>
      </c>
      <c r="AD256">
        <v>9</v>
      </c>
      <c r="AE256">
        <v>5</v>
      </c>
      <c r="AF256">
        <v>8</v>
      </c>
      <c r="AG256">
        <v>8</v>
      </c>
      <c r="AH256">
        <v>9</v>
      </c>
      <c r="AI256" t="s">
        <v>80</v>
      </c>
      <c r="AJ256" t="s">
        <v>80</v>
      </c>
      <c r="AK256">
        <v>8</v>
      </c>
      <c r="AL256">
        <v>17</v>
      </c>
      <c r="AM256" t="s">
        <v>84</v>
      </c>
      <c r="AN256" t="s">
        <v>80</v>
      </c>
      <c r="AO256" t="s">
        <v>80</v>
      </c>
      <c r="AP256" t="s">
        <v>80</v>
      </c>
      <c r="AQ256">
        <v>3</v>
      </c>
      <c r="AR256">
        <v>3</v>
      </c>
      <c r="AS256">
        <v>3</v>
      </c>
      <c r="AT256" t="s">
        <v>85</v>
      </c>
      <c r="AU256">
        <v>9</v>
      </c>
      <c r="AV256" t="s">
        <v>80</v>
      </c>
      <c r="AW256" t="s">
        <v>80</v>
      </c>
      <c r="AX256">
        <v>8</v>
      </c>
      <c r="AY256" t="s">
        <v>78</v>
      </c>
      <c r="AZ256" t="s">
        <v>80</v>
      </c>
      <c r="BA256">
        <v>9</v>
      </c>
      <c r="BB256">
        <v>9</v>
      </c>
      <c r="BC256" t="s">
        <v>80</v>
      </c>
      <c r="BD256">
        <v>9</v>
      </c>
      <c r="BE256">
        <v>2</v>
      </c>
      <c r="BF256">
        <v>3</v>
      </c>
      <c r="BG256" t="s">
        <v>571</v>
      </c>
      <c r="BH256" t="s">
        <v>87</v>
      </c>
      <c r="BI256">
        <v>9.3000000000000007</v>
      </c>
      <c r="BJ256">
        <v>9.6</v>
      </c>
      <c r="BK256">
        <v>1.9</v>
      </c>
      <c r="BL256">
        <v>9.8000000000000007</v>
      </c>
    </row>
    <row r="257" spans="1:64" x14ac:dyDescent="0.25">
      <c r="A257" t="s">
        <v>572</v>
      </c>
      <c r="B257">
        <v>47</v>
      </c>
      <c r="C257" t="s">
        <v>382</v>
      </c>
      <c r="D257" t="s">
        <v>66</v>
      </c>
      <c r="E257" t="s">
        <v>149</v>
      </c>
      <c r="F257" t="s">
        <v>218</v>
      </c>
      <c r="G257" t="s">
        <v>219</v>
      </c>
      <c r="H257" t="s">
        <v>279</v>
      </c>
      <c r="I257" t="s">
        <v>166</v>
      </c>
      <c r="J257" t="s">
        <v>72</v>
      </c>
      <c r="K257" t="s">
        <v>290</v>
      </c>
      <c r="L257">
        <v>4.5</v>
      </c>
      <c r="M257">
        <v>9</v>
      </c>
      <c r="N257" t="s">
        <v>74</v>
      </c>
      <c r="O257" t="s">
        <v>220</v>
      </c>
      <c r="P257" t="s">
        <v>100</v>
      </c>
      <c r="Q257" t="s">
        <v>101</v>
      </c>
      <c r="R257" t="s">
        <v>111</v>
      </c>
      <c r="S257" t="s">
        <v>102</v>
      </c>
      <c r="T257" t="s">
        <v>111</v>
      </c>
      <c r="U257" t="s">
        <v>80</v>
      </c>
      <c r="V257" t="s">
        <v>111</v>
      </c>
      <c r="W257" t="s">
        <v>102</v>
      </c>
      <c r="X257" t="s">
        <v>327</v>
      </c>
      <c r="Y257">
        <v>8.5</v>
      </c>
      <c r="Z257">
        <v>7</v>
      </c>
      <c r="AA257" t="s">
        <v>126</v>
      </c>
      <c r="AB257" t="s">
        <v>103</v>
      </c>
      <c r="AC257">
        <v>8.5</v>
      </c>
      <c r="AD257">
        <v>5</v>
      </c>
      <c r="AE257">
        <v>3</v>
      </c>
      <c r="AF257">
        <v>5</v>
      </c>
      <c r="AG257">
        <v>5</v>
      </c>
      <c r="AH257">
        <v>4</v>
      </c>
      <c r="AI257" t="s">
        <v>111</v>
      </c>
      <c r="AJ257" t="s">
        <v>111</v>
      </c>
      <c r="AK257">
        <v>20</v>
      </c>
      <c r="AL257">
        <v>48</v>
      </c>
      <c r="AM257" t="s">
        <v>131</v>
      </c>
      <c r="AN257" t="s">
        <v>111</v>
      </c>
      <c r="AO257" t="s">
        <v>111</v>
      </c>
      <c r="AP257" t="s">
        <v>111</v>
      </c>
      <c r="AQ257">
        <v>5</v>
      </c>
      <c r="AR257">
        <v>5</v>
      </c>
      <c r="AS257">
        <v>5</v>
      </c>
      <c r="AT257" t="s">
        <v>131</v>
      </c>
      <c r="AU257">
        <v>26</v>
      </c>
      <c r="AV257" t="s">
        <v>80</v>
      </c>
      <c r="AW257" t="s">
        <v>111</v>
      </c>
      <c r="AX257">
        <v>5</v>
      </c>
      <c r="AY257" t="s">
        <v>102</v>
      </c>
      <c r="AZ257" t="s">
        <v>111</v>
      </c>
      <c r="BA257">
        <v>5</v>
      </c>
      <c r="BB257">
        <v>5</v>
      </c>
      <c r="BC257" t="s">
        <v>111</v>
      </c>
      <c r="BD257">
        <v>5</v>
      </c>
      <c r="BE257">
        <v>4</v>
      </c>
      <c r="BF257">
        <v>14</v>
      </c>
      <c r="BG257" t="s">
        <v>152</v>
      </c>
      <c r="BH257" t="s">
        <v>171</v>
      </c>
      <c r="BI257">
        <v>5.2</v>
      </c>
      <c r="BJ257">
        <v>5.8</v>
      </c>
      <c r="BK257">
        <v>5</v>
      </c>
      <c r="BL257">
        <v>6.2</v>
      </c>
    </row>
    <row r="258" spans="1:64" x14ac:dyDescent="0.25">
      <c r="A258" t="s">
        <v>573</v>
      </c>
      <c r="B258">
        <v>20</v>
      </c>
      <c r="C258" t="s">
        <v>106</v>
      </c>
      <c r="D258" t="s">
        <v>89</v>
      </c>
      <c r="E258" t="s">
        <v>90</v>
      </c>
      <c r="F258" t="s">
        <v>207</v>
      </c>
      <c r="G258" t="s">
        <v>208</v>
      </c>
      <c r="H258" t="s">
        <v>70</v>
      </c>
      <c r="I258" t="s">
        <v>71</v>
      </c>
      <c r="J258" t="s">
        <v>72</v>
      </c>
      <c r="K258" t="s">
        <v>73</v>
      </c>
      <c r="L258">
        <v>7</v>
      </c>
      <c r="M258">
        <v>5</v>
      </c>
      <c r="N258" t="s">
        <v>135</v>
      </c>
      <c r="O258" t="s">
        <v>93</v>
      </c>
      <c r="P258" t="s">
        <v>76</v>
      </c>
      <c r="Q258" t="s">
        <v>77</v>
      </c>
      <c r="R258" t="s">
        <v>78</v>
      </c>
      <c r="S258" t="s">
        <v>79</v>
      </c>
      <c r="T258" t="s">
        <v>102</v>
      </c>
      <c r="U258" t="s">
        <v>80</v>
      </c>
      <c r="V258" t="s">
        <v>80</v>
      </c>
      <c r="W258" t="s">
        <v>78</v>
      </c>
      <c r="X258" t="s">
        <v>574</v>
      </c>
      <c r="Y258">
        <v>11</v>
      </c>
      <c r="Z258">
        <v>5.5</v>
      </c>
      <c r="AA258" t="s">
        <v>82</v>
      </c>
      <c r="AB258" t="s">
        <v>83</v>
      </c>
      <c r="AC258">
        <v>6</v>
      </c>
      <c r="AD258">
        <v>9</v>
      </c>
      <c r="AE258">
        <v>5</v>
      </c>
      <c r="AF258">
        <v>7</v>
      </c>
      <c r="AG258">
        <v>6</v>
      </c>
      <c r="AH258">
        <v>7</v>
      </c>
      <c r="AI258" t="s">
        <v>80</v>
      </c>
      <c r="AJ258" t="s">
        <v>80</v>
      </c>
      <c r="AK258">
        <v>9</v>
      </c>
      <c r="AL258">
        <v>20</v>
      </c>
      <c r="AM258" t="s">
        <v>84</v>
      </c>
      <c r="AN258" t="s">
        <v>80</v>
      </c>
      <c r="AO258" t="s">
        <v>80</v>
      </c>
      <c r="AP258" t="s">
        <v>80</v>
      </c>
      <c r="AQ258">
        <v>4</v>
      </c>
      <c r="AR258">
        <v>3</v>
      </c>
      <c r="AS258">
        <v>4</v>
      </c>
      <c r="AT258" t="s">
        <v>85</v>
      </c>
      <c r="AU258">
        <v>11</v>
      </c>
      <c r="AV258" t="s">
        <v>80</v>
      </c>
      <c r="AW258" t="s">
        <v>80</v>
      </c>
      <c r="AX258">
        <v>7</v>
      </c>
      <c r="AY258" t="s">
        <v>78</v>
      </c>
      <c r="AZ258" t="s">
        <v>80</v>
      </c>
      <c r="BA258">
        <v>8</v>
      </c>
      <c r="BB258">
        <v>8</v>
      </c>
      <c r="BC258" t="s">
        <v>80</v>
      </c>
      <c r="BD258">
        <v>9</v>
      </c>
      <c r="BE258">
        <v>2</v>
      </c>
      <c r="BF258">
        <v>4</v>
      </c>
      <c r="BG258" t="s">
        <v>86</v>
      </c>
      <c r="BH258" t="s">
        <v>87</v>
      </c>
      <c r="BI258">
        <v>8.8000000000000007</v>
      </c>
      <c r="BJ258">
        <v>9</v>
      </c>
      <c r="BK258">
        <v>2.4</v>
      </c>
      <c r="BL258">
        <v>9.4</v>
      </c>
    </row>
    <row r="259" spans="1:64" x14ac:dyDescent="0.25">
      <c r="A259" t="s">
        <v>575</v>
      </c>
      <c r="B259">
        <v>34</v>
      </c>
      <c r="C259" t="s">
        <v>278</v>
      </c>
      <c r="D259" t="s">
        <v>540</v>
      </c>
      <c r="E259" t="s">
        <v>107</v>
      </c>
      <c r="F259" t="s">
        <v>190</v>
      </c>
      <c r="G259" t="s">
        <v>191</v>
      </c>
      <c r="H259" t="s">
        <v>279</v>
      </c>
      <c r="I259" t="s">
        <v>166</v>
      </c>
      <c r="J259" t="s">
        <v>311</v>
      </c>
      <c r="K259" t="s">
        <v>73</v>
      </c>
      <c r="L259">
        <v>3.5</v>
      </c>
      <c r="M259">
        <v>9</v>
      </c>
      <c r="N259" t="s">
        <v>130</v>
      </c>
      <c r="O259" t="s">
        <v>110</v>
      </c>
      <c r="P259" t="s">
        <v>273</v>
      </c>
      <c r="Q259" t="s">
        <v>101</v>
      </c>
      <c r="R259" t="s">
        <v>111</v>
      </c>
      <c r="S259" t="s">
        <v>111</v>
      </c>
      <c r="T259" t="s">
        <v>274</v>
      </c>
      <c r="U259" t="s">
        <v>80</v>
      </c>
      <c r="V259" t="s">
        <v>274</v>
      </c>
      <c r="W259" t="s">
        <v>111</v>
      </c>
      <c r="X259" t="s">
        <v>335</v>
      </c>
      <c r="Y259">
        <v>7.5</v>
      </c>
      <c r="Z259">
        <v>7.5</v>
      </c>
      <c r="AA259" t="s">
        <v>266</v>
      </c>
      <c r="AB259" t="s">
        <v>275</v>
      </c>
      <c r="AC259">
        <v>9</v>
      </c>
      <c r="AD259">
        <v>4</v>
      </c>
      <c r="AE259">
        <v>2</v>
      </c>
      <c r="AF259">
        <v>4</v>
      </c>
      <c r="AG259">
        <v>4</v>
      </c>
      <c r="AH259">
        <v>3</v>
      </c>
      <c r="AI259" t="s">
        <v>111</v>
      </c>
      <c r="AJ259" t="s">
        <v>274</v>
      </c>
      <c r="AK259">
        <v>26</v>
      </c>
      <c r="AL259">
        <v>65</v>
      </c>
      <c r="AM259" t="s">
        <v>85</v>
      </c>
      <c r="AN259" t="s">
        <v>274</v>
      </c>
      <c r="AO259" t="s">
        <v>111</v>
      </c>
      <c r="AP259" t="s">
        <v>274</v>
      </c>
      <c r="AQ259">
        <v>7</v>
      </c>
      <c r="AR259">
        <v>6</v>
      </c>
      <c r="AS259">
        <v>7</v>
      </c>
      <c r="AT259" t="s">
        <v>266</v>
      </c>
      <c r="AU259">
        <v>40</v>
      </c>
      <c r="AV259" t="s">
        <v>274</v>
      </c>
      <c r="AW259" t="s">
        <v>274</v>
      </c>
      <c r="AX259">
        <v>3</v>
      </c>
      <c r="AY259" t="s">
        <v>274</v>
      </c>
      <c r="AZ259" t="s">
        <v>274</v>
      </c>
      <c r="BA259">
        <v>3</v>
      </c>
      <c r="BB259">
        <v>3</v>
      </c>
      <c r="BC259" t="s">
        <v>274</v>
      </c>
      <c r="BD259">
        <v>3</v>
      </c>
      <c r="BE259">
        <v>6</v>
      </c>
      <c r="BF259">
        <v>26</v>
      </c>
      <c r="BG259" t="s">
        <v>554</v>
      </c>
      <c r="BH259" t="s">
        <v>281</v>
      </c>
      <c r="BI259">
        <v>3.2</v>
      </c>
      <c r="BJ259">
        <v>3.8</v>
      </c>
      <c r="BK259">
        <v>7</v>
      </c>
      <c r="BL259">
        <v>4</v>
      </c>
    </row>
    <row r="260" spans="1:64" x14ac:dyDescent="0.25">
      <c r="A260" t="s">
        <v>576</v>
      </c>
      <c r="B260">
        <v>17</v>
      </c>
      <c r="C260" t="s">
        <v>65</v>
      </c>
      <c r="D260" t="s">
        <v>66</v>
      </c>
      <c r="E260" t="s">
        <v>90</v>
      </c>
      <c r="F260" t="s">
        <v>128</v>
      </c>
      <c r="G260" t="s">
        <v>129</v>
      </c>
      <c r="H260" t="s">
        <v>70</v>
      </c>
      <c r="I260" t="s">
        <v>71</v>
      </c>
      <c r="J260" t="s">
        <v>72</v>
      </c>
      <c r="K260" t="s">
        <v>73</v>
      </c>
      <c r="L260">
        <v>7.5</v>
      </c>
      <c r="M260">
        <v>4</v>
      </c>
      <c r="N260" t="s">
        <v>74</v>
      </c>
      <c r="O260" t="s">
        <v>93</v>
      </c>
      <c r="P260" t="s">
        <v>76</v>
      </c>
      <c r="Q260" t="s">
        <v>77</v>
      </c>
      <c r="R260" t="s">
        <v>78</v>
      </c>
      <c r="S260" t="s">
        <v>79</v>
      </c>
      <c r="T260" t="s">
        <v>79</v>
      </c>
      <c r="U260" t="s">
        <v>80</v>
      </c>
      <c r="V260" t="s">
        <v>80</v>
      </c>
      <c r="W260" t="s">
        <v>78</v>
      </c>
      <c r="X260" t="s">
        <v>570</v>
      </c>
      <c r="Y260">
        <v>11.5</v>
      </c>
      <c r="Z260">
        <v>5.5</v>
      </c>
      <c r="AA260" t="s">
        <v>82</v>
      </c>
      <c r="AB260" t="s">
        <v>83</v>
      </c>
      <c r="AC260">
        <v>6</v>
      </c>
      <c r="AD260">
        <v>9</v>
      </c>
      <c r="AE260">
        <v>5</v>
      </c>
      <c r="AF260">
        <v>8</v>
      </c>
      <c r="AG260">
        <v>9</v>
      </c>
      <c r="AH260">
        <v>9</v>
      </c>
      <c r="AI260" t="s">
        <v>80</v>
      </c>
      <c r="AJ260" t="s">
        <v>80</v>
      </c>
      <c r="AK260">
        <v>8</v>
      </c>
      <c r="AL260">
        <v>17</v>
      </c>
      <c r="AM260" t="s">
        <v>84</v>
      </c>
      <c r="AN260" t="s">
        <v>80</v>
      </c>
      <c r="AO260" t="s">
        <v>80</v>
      </c>
      <c r="AP260" t="s">
        <v>80</v>
      </c>
      <c r="AQ260">
        <v>3</v>
      </c>
      <c r="AR260">
        <v>3</v>
      </c>
      <c r="AS260">
        <v>3</v>
      </c>
      <c r="AT260" t="s">
        <v>85</v>
      </c>
      <c r="AU260">
        <v>9</v>
      </c>
      <c r="AV260" t="s">
        <v>80</v>
      </c>
      <c r="AW260" t="s">
        <v>80</v>
      </c>
      <c r="AX260">
        <v>8</v>
      </c>
      <c r="AY260" t="s">
        <v>78</v>
      </c>
      <c r="AZ260" t="s">
        <v>80</v>
      </c>
      <c r="BA260">
        <v>9</v>
      </c>
      <c r="BB260">
        <v>9</v>
      </c>
      <c r="BC260" t="s">
        <v>80</v>
      </c>
      <c r="BD260">
        <v>10</v>
      </c>
      <c r="BE260">
        <v>2</v>
      </c>
      <c r="BF260">
        <v>3</v>
      </c>
      <c r="BG260" t="s">
        <v>136</v>
      </c>
      <c r="BH260" t="s">
        <v>87</v>
      </c>
      <c r="BI260">
        <v>9.4</v>
      </c>
      <c r="BJ260">
        <v>9.6</v>
      </c>
      <c r="BK260">
        <v>1.9</v>
      </c>
      <c r="BL260">
        <v>9.8000000000000007</v>
      </c>
    </row>
    <row r="261" spans="1:64" x14ac:dyDescent="0.25">
      <c r="A261" t="s">
        <v>577</v>
      </c>
      <c r="B261">
        <v>29</v>
      </c>
      <c r="C261" t="s">
        <v>278</v>
      </c>
      <c r="D261" t="s">
        <v>89</v>
      </c>
      <c r="E261" t="s">
        <v>97</v>
      </c>
      <c r="F261" t="s">
        <v>181</v>
      </c>
      <c r="G261" t="s">
        <v>182</v>
      </c>
      <c r="H261" t="s">
        <v>124</v>
      </c>
      <c r="I261" t="s">
        <v>166</v>
      </c>
      <c r="J261" t="s">
        <v>193</v>
      </c>
      <c r="K261" t="s">
        <v>73</v>
      </c>
      <c r="L261">
        <v>5.5</v>
      </c>
      <c r="M261">
        <v>6</v>
      </c>
      <c r="N261" t="s">
        <v>75</v>
      </c>
      <c r="O261" t="s">
        <v>74</v>
      </c>
      <c r="P261" t="s">
        <v>100</v>
      </c>
      <c r="Q261" t="s">
        <v>101</v>
      </c>
      <c r="R261" t="s">
        <v>102</v>
      </c>
      <c r="S261" t="s">
        <v>102</v>
      </c>
      <c r="T261" t="s">
        <v>111</v>
      </c>
      <c r="U261" t="s">
        <v>80</v>
      </c>
      <c r="V261" t="s">
        <v>80</v>
      </c>
      <c r="W261" t="s">
        <v>102</v>
      </c>
      <c r="X261" t="s">
        <v>331</v>
      </c>
      <c r="Y261">
        <v>9.5</v>
      </c>
      <c r="Z261">
        <v>7</v>
      </c>
      <c r="AA261" t="s">
        <v>126</v>
      </c>
      <c r="AB261" t="s">
        <v>103</v>
      </c>
      <c r="AC261">
        <v>7.5</v>
      </c>
      <c r="AD261">
        <v>7</v>
      </c>
      <c r="AE261">
        <v>3</v>
      </c>
      <c r="AF261">
        <v>6</v>
      </c>
      <c r="AG261">
        <v>5</v>
      </c>
      <c r="AH261">
        <v>5</v>
      </c>
      <c r="AI261" t="s">
        <v>80</v>
      </c>
      <c r="AJ261" t="s">
        <v>111</v>
      </c>
      <c r="AK261">
        <v>15</v>
      </c>
      <c r="AL261">
        <v>35</v>
      </c>
      <c r="AM261" t="s">
        <v>131</v>
      </c>
      <c r="AN261" t="s">
        <v>111</v>
      </c>
      <c r="AO261" t="s">
        <v>80</v>
      </c>
      <c r="AP261" t="s">
        <v>111</v>
      </c>
      <c r="AQ261">
        <v>5</v>
      </c>
      <c r="AR261">
        <v>4</v>
      </c>
      <c r="AS261">
        <v>5</v>
      </c>
      <c r="AT261" t="s">
        <v>131</v>
      </c>
      <c r="AU261">
        <v>20</v>
      </c>
      <c r="AV261" t="s">
        <v>80</v>
      </c>
      <c r="AW261" t="s">
        <v>80</v>
      </c>
      <c r="AX261">
        <v>5</v>
      </c>
      <c r="AY261" t="s">
        <v>102</v>
      </c>
      <c r="AZ261" t="s">
        <v>80</v>
      </c>
      <c r="BA261">
        <v>6</v>
      </c>
      <c r="BB261">
        <v>5</v>
      </c>
      <c r="BC261" t="s">
        <v>111</v>
      </c>
      <c r="BD261">
        <v>6</v>
      </c>
      <c r="BE261">
        <v>4</v>
      </c>
      <c r="BF261">
        <v>10</v>
      </c>
      <c r="BG261" t="s">
        <v>86</v>
      </c>
      <c r="BH261" t="s">
        <v>131</v>
      </c>
      <c r="BI261">
        <v>5.8</v>
      </c>
      <c r="BJ261">
        <v>6.4</v>
      </c>
      <c r="BK261">
        <v>4.5999999999999996</v>
      </c>
      <c r="BL261">
        <v>6.8</v>
      </c>
    </row>
    <row r="262" spans="1:64" x14ac:dyDescent="0.25">
      <c r="A262" t="s">
        <v>578</v>
      </c>
      <c r="B262">
        <v>21</v>
      </c>
      <c r="C262" t="s">
        <v>106</v>
      </c>
      <c r="D262" t="s">
        <v>66</v>
      </c>
      <c r="E262" t="s">
        <v>67</v>
      </c>
      <c r="F262" t="s">
        <v>133</v>
      </c>
      <c r="G262" t="s">
        <v>134</v>
      </c>
      <c r="H262" t="s">
        <v>124</v>
      </c>
      <c r="I262" t="s">
        <v>71</v>
      </c>
      <c r="J262" t="s">
        <v>72</v>
      </c>
      <c r="K262" t="s">
        <v>73</v>
      </c>
      <c r="L262">
        <v>8.5</v>
      </c>
      <c r="M262">
        <v>5</v>
      </c>
      <c r="N262" t="s">
        <v>93</v>
      </c>
      <c r="O262" t="s">
        <v>74</v>
      </c>
      <c r="P262" t="s">
        <v>76</v>
      </c>
      <c r="Q262" t="s">
        <v>77</v>
      </c>
      <c r="R262" t="s">
        <v>78</v>
      </c>
      <c r="S262" t="s">
        <v>79</v>
      </c>
      <c r="T262" t="s">
        <v>79</v>
      </c>
      <c r="U262" t="s">
        <v>80</v>
      </c>
      <c r="V262" t="s">
        <v>80</v>
      </c>
      <c r="W262" t="s">
        <v>78</v>
      </c>
      <c r="X262" t="s">
        <v>81</v>
      </c>
      <c r="Y262">
        <v>12.5</v>
      </c>
      <c r="Z262">
        <v>5</v>
      </c>
      <c r="AA262" t="s">
        <v>94</v>
      </c>
      <c r="AB262" t="s">
        <v>83</v>
      </c>
      <c r="AC262">
        <v>5.5</v>
      </c>
      <c r="AD262">
        <v>10</v>
      </c>
      <c r="AE262">
        <v>5</v>
      </c>
      <c r="AF262">
        <v>9</v>
      </c>
      <c r="AG262">
        <v>9</v>
      </c>
      <c r="AH262">
        <v>9</v>
      </c>
      <c r="AI262" t="s">
        <v>80</v>
      </c>
      <c r="AJ262" t="s">
        <v>80</v>
      </c>
      <c r="AK262">
        <v>6</v>
      </c>
      <c r="AL262">
        <v>12</v>
      </c>
      <c r="AM262" t="s">
        <v>84</v>
      </c>
      <c r="AN262" t="s">
        <v>80</v>
      </c>
      <c r="AO262" t="s">
        <v>80</v>
      </c>
      <c r="AP262" t="s">
        <v>80</v>
      </c>
      <c r="AQ262">
        <v>2</v>
      </c>
      <c r="AR262">
        <v>2</v>
      </c>
      <c r="AS262">
        <v>2</v>
      </c>
      <c r="AT262" t="s">
        <v>556</v>
      </c>
      <c r="AU262">
        <v>7</v>
      </c>
      <c r="AV262" t="s">
        <v>80</v>
      </c>
      <c r="AW262" t="s">
        <v>80</v>
      </c>
      <c r="AX262">
        <v>9</v>
      </c>
      <c r="AY262" t="s">
        <v>78</v>
      </c>
      <c r="AZ262" t="s">
        <v>80</v>
      </c>
      <c r="BA262">
        <v>10</v>
      </c>
      <c r="BB262">
        <v>9</v>
      </c>
      <c r="BC262" t="s">
        <v>80</v>
      </c>
      <c r="BD262">
        <v>10</v>
      </c>
      <c r="BE262">
        <v>1</v>
      </c>
      <c r="BF262">
        <v>2</v>
      </c>
      <c r="BG262" t="s">
        <v>136</v>
      </c>
      <c r="BH262" t="s">
        <v>87</v>
      </c>
      <c r="BI262">
        <v>9.6</v>
      </c>
      <c r="BJ262">
        <v>9.8000000000000007</v>
      </c>
      <c r="BK262">
        <v>1.4</v>
      </c>
      <c r="BL262">
        <v>9.9</v>
      </c>
    </row>
    <row r="263" spans="1:64" x14ac:dyDescent="0.25">
      <c r="A263" t="s">
        <v>579</v>
      </c>
      <c r="B263">
        <v>36</v>
      </c>
      <c r="C263" t="s">
        <v>382</v>
      </c>
      <c r="D263" t="s">
        <v>89</v>
      </c>
      <c r="E263" t="s">
        <v>107</v>
      </c>
      <c r="F263" t="s">
        <v>260</v>
      </c>
      <c r="G263" t="s">
        <v>261</v>
      </c>
      <c r="H263" t="s">
        <v>279</v>
      </c>
      <c r="I263" t="s">
        <v>549</v>
      </c>
      <c r="J263" t="s">
        <v>167</v>
      </c>
      <c r="K263" t="s">
        <v>143</v>
      </c>
      <c r="L263">
        <v>4</v>
      </c>
      <c r="M263">
        <v>10</v>
      </c>
      <c r="N263" t="s">
        <v>110</v>
      </c>
      <c r="O263" t="s">
        <v>75</v>
      </c>
      <c r="P263" t="s">
        <v>100</v>
      </c>
      <c r="Q263" t="s">
        <v>101</v>
      </c>
      <c r="R263" t="s">
        <v>111</v>
      </c>
      <c r="S263" t="s">
        <v>111</v>
      </c>
      <c r="T263" t="s">
        <v>111</v>
      </c>
      <c r="U263" t="s">
        <v>80</v>
      </c>
      <c r="V263" t="s">
        <v>111</v>
      </c>
      <c r="W263" t="s">
        <v>111</v>
      </c>
      <c r="X263" t="s">
        <v>368</v>
      </c>
      <c r="Y263">
        <v>8</v>
      </c>
      <c r="Z263">
        <v>7.5</v>
      </c>
      <c r="AA263" t="s">
        <v>266</v>
      </c>
      <c r="AB263" t="s">
        <v>103</v>
      </c>
      <c r="AC263">
        <v>7.5</v>
      </c>
      <c r="AD263">
        <v>5</v>
      </c>
      <c r="AE263">
        <v>3</v>
      </c>
      <c r="AF263">
        <v>5</v>
      </c>
      <c r="AG263">
        <v>4</v>
      </c>
      <c r="AH263">
        <v>4</v>
      </c>
      <c r="AI263" t="s">
        <v>111</v>
      </c>
      <c r="AJ263" t="s">
        <v>111</v>
      </c>
      <c r="AK263">
        <v>22</v>
      </c>
      <c r="AL263">
        <v>55</v>
      </c>
      <c r="AM263" t="s">
        <v>131</v>
      </c>
      <c r="AN263" t="s">
        <v>111</v>
      </c>
      <c r="AO263" t="s">
        <v>111</v>
      </c>
      <c r="AP263" t="s">
        <v>274</v>
      </c>
      <c r="AQ263">
        <v>5</v>
      </c>
      <c r="AR263">
        <v>5</v>
      </c>
      <c r="AS263">
        <v>5</v>
      </c>
      <c r="AT263" t="s">
        <v>131</v>
      </c>
      <c r="AU263">
        <v>28</v>
      </c>
      <c r="AV263" t="s">
        <v>111</v>
      </c>
      <c r="AW263" t="s">
        <v>111</v>
      </c>
      <c r="AX263">
        <v>4</v>
      </c>
      <c r="AY263" t="s">
        <v>111</v>
      </c>
      <c r="AZ263" t="s">
        <v>111</v>
      </c>
      <c r="BA263">
        <v>4</v>
      </c>
      <c r="BB263">
        <v>4</v>
      </c>
      <c r="BC263" t="s">
        <v>111</v>
      </c>
      <c r="BD263">
        <v>4</v>
      </c>
      <c r="BE263">
        <v>5</v>
      </c>
      <c r="BF263">
        <v>16</v>
      </c>
      <c r="BG263" t="s">
        <v>554</v>
      </c>
      <c r="BH263" t="s">
        <v>171</v>
      </c>
      <c r="BI263">
        <v>4.8</v>
      </c>
      <c r="BJ263">
        <v>5.4</v>
      </c>
      <c r="BK263">
        <v>5.4</v>
      </c>
      <c r="BL263">
        <v>5.8</v>
      </c>
    </row>
    <row r="264" spans="1:64" x14ac:dyDescent="0.25">
      <c r="A264" t="s">
        <v>580</v>
      </c>
      <c r="B264">
        <v>16</v>
      </c>
      <c r="C264" t="s">
        <v>65</v>
      </c>
      <c r="D264" t="s">
        <v>89</v>
      </c>
      <c r="E264" t="s">
        <v>97</v>
      </c>
      <c r="F264" t="s">
        <v>163</v>
      </c>
      <c r="G264" t="s">
        <v>164</v>
      </c>
      <c r="H264" t="s">
        <v>70</v>
      </c>
      <c r="I264" t="s">
        <v>71</v>
      </c>
      <c r="J264" t="s">
        <v>72</v>
      </c>
      <c r="K264" t="s">
        <v>73</v>
      </c>
      <c r="L264">
        <v>8</v>
      </c>
      <c r="M264">
        <v>4</v>
      </c>
      <c r="N264" t="s">
        <v>75</v>
      </c>
      <c r="O264" t="s">
        <v>93</v>
      </c>
      <c r="P264" t="s">
        <v>76</v>
      </c>
      <c r="Q264" t="s">
        <v>77</v>
      </c>
      <c r="R264" t="s">
        <v>78</v>
      </c>
      <c r="S264" t="s">
        <v>79</v>
      </c>
      <c r="T264" t="s">
        <v>102</v>
      </c>
      <c r="U264" t="s">
        <v>80</v>
      </c>
      <c r="V264" t="s">
        <v>80</v>
      </c>
      <c r="W264" t="s">
        <v>78</v>
      </c>
      <c r="X264" t="s">
        <v>547</v>
      </c>
      <c r="Y264">
        <v>12</v>
      </c>
      <c r="Z264">
        <v>5.5</v>
      </c>
      <c r="AA264" t="s">
        <v>82</v>
      </c>
      <c r="AB264" t="s">
        <v>83</v>
      </c>
      <c r="AC264">
        <v>5.5</v>
      </c>
      <c r="AD264">
        <v>9</v>
      </c>
      <c r="AE264">
        <v>5</v>
      </c>
      <c r="AF264">
        <v>8</v>
      </c>
      <c r="AG264">
        <v>7</v>
      </c>
      <c r="AH264">
        <v>7</v>
      </c>
      <c r="AI264" t="s">
        <v>80</v>
      </c>
      <c r="AJ264" t="s">
        <v>80</v>
      </c>
      <c r="AK264">
        <v>8</v>
      </c>
      <c r="AL264">
        <v>16</v>
      </c>
      <c r="AM264" t="s">
        <v>84</v>
      </c>
      <c r="AN264" t="s">
        <v>80</v>
      </c>
      <c r="AO264" t="s">
        <v>80</v>
      </c>
      <c r="AP264" t="s">
        <v>80</v>
      </c>
      <c r="AQ264">
        <v>3</v>
      </c>
      <c r="AR264">
        <v>2</v>
      </c>
      <c r="AS264">
        <v>3</v>
      </c>
      <c r="AT264" t="s">
        <v>85</v>
      </c>
      <c r="AU264">
        <v>8</v>
      </c>
      <c r="AV264" t="s">
        <v>80</v>
      </c>
      <c r="AW264" t="s">
        <v>80</v>
      </c>
      <c r="AX264">
        <v>8</v>
      </c>
      <c r="AY264" t="s">
        <v>78</v>
      </c>
      <c r="AZ264" t="s">
        <v>80</v>
      </c>
      <c r="BA264">
        <v>9</v>
      </c>
      <c r="BB264">
        <v>8</v>
      </c>
      <c r="BC264" t="s">
        <v>80</v>
      </c>
      <c r="BD264">
        <v>9</v>
      </c>
      <c r="BE264">
        <v>1</v>
      </c>
      <c r="BF264">
        <v>2</v>
      </c>
      <c r="BG264" t="s">
        <v>86</v>
      </c>
      <c r="BH264" t="s">
        <v>87</v>
      </c>
      <c r="BI264">
        <v>9.1999999999999993</v>
      </c>
      <c r="BJ264">
        <v>9.5</v>
      </c>
      <c r="BK264">
        <v>2.1</v>
      </c>
      <c r="BL264">
        <v>9.6999999999999993</v>
      </c>
    </row>
    <row r="265" spans="1:64" x14ac:dyDescent="0.25">
      <c r="A265" t="s">
        <v>581</v>
      </c>
      <c r="B265">
        <v>44</v>
      </c>
      <c r="C265" t="s">
        <v>382</v>
      </c>
      <c r="D265" t="s">
        <v>66</v>
      </c>
      <c r="E265" t="s">
        <v>90</v>
      </c>
      <c r="F265" t="s">
        <v>91</v>
      </c>
      <c r="G265" t="s">
        <v>92</v>
      </c>
      <c r="H265" t="s">
        <v>279</v>
      </c>
      <c r="I265" t="s">
        <v>166</v>
      </c>
      <c r="J265" t="s">
        <v>285</v>
      </c>
      <c r="K265" t="s">
        <v>290</v>
      </c>
      <c r="L265">
        <v>4</v>
      </c>
      <c r="M265">
        <v>10</v>
      </c>
      <c r="N265" t="s">
        <v>168</v>
      </c>
      <c r="O265" t="s">
        <v>214</v>
      </c>
      <c r="P265" t="s">
        <v>100</v>
      </c>
      <c r="Q265" t="s">
        <v>101</v>
      </c>
      <c r="R265" t="s">
        <v>111</v>
      </c>
      <c r="S265" t="s">
        <v>111</v>
      </c>
      <c r="T265" t="s">
        <v>111</v>
      </c>
      <c r="U265" t="s">
        <v>80</v>
      </c>
      <c r="V265" t="s">
        <v>111</v>
      </c>
      <c r="W265" t="s">
        <v>111</v>
      </c>
      <c r="X265" t="s">
        <v>582</v>
      </c>
      <c r="Y265">
        <v>8</v>
      </c>
      <c r="Z265">
        <v>7.5</v>
      </c>
      <c r="AA265" t="s">
        <v>266</v>
      </c>
      <c r="AB265" t="s">
        <v>275</v>
      </c>
      <c r="AC265">
        <v>8.5</v>
      </c>
      <c r="AD265">
        <v>5</v>
      </c>
      <c r="AE265">
        <v>2</v>
      </c>
      <c r="AF265">
        <v>5</v>
      </c>
      <c r="AG265">
        <v>5</v>
      </c>
      <c r="AH265">
        <v>4</v>
      </c>
      <c r="AI265" t="s">
        <v>111</v>
      </c>
      <c r="AJ265" t="s">
        <v>111</v>
      </c>
      <c r="AK265">
        <v>22</v>
      </c>
      <c r="AL265">
        <v>55</v>
      </c>
      <c r="AM265" t="s">
        <v>131</v>
      </c>
      <c r="AN265" t="s">
        <v>111</v>
      </c>
      <c r="AO265" t="s">
        <v>111</v>
      </c>
      <c r="AP265" t="s">
        <v>274</v>
      </c>
      <c r="AQ265">
        <v>5</v>
      </c>
      <c r="AR265">
        <v>5</v>
      </c>
      <c r="AS265">
        <v>5</v>
      </c>
      <c r="AT265" t="s">
        <v>131</v>
      </c>
      <c r="AU265">
        <v>28</v>
      </c>
      <c r="AV265" t="s">
        <v>111</v>
      </c>
      <c r="AW265" t="s">
        <v>111</v>
      </c>
      <c r="AX265">
        <v>4</v>
      </c>
      <c r="AY265" t="s">
        <v>111</v>
      </c>
      <c r="AZ265" t="s">
        <v>111</v>
      </c>
      <c r="BA265">
        <v>4</v>
      </c>
      <c r="BB265">
        <v>4</v>
      </c>
      <c r="BC265" t="s">
        <v>111</v>
      </c>
      <c r="BD265">
        <v>4</v>
      </c>
      <c r="BE265">
        <v>5</v>
      </c>
      <c r="BF265">
        <v>18</v>
      </c>
      <c r="BG265" t="s">
        <v>152</v>
      </c>
      <c r="BH265" t="s">
        <v>171</v>
      </c>
      <c r="BI265">
        <v>4.8</v>
      </c>
      <c r="BJ265">
        <v>5.4</v>
      </c>
      <c r="BK265">
        <v>5.4</v>
      </c>
      <c r="BL265">
        <v>5.8</v>
      </c>
    </row>
    <row r="266" spans="1:64" x14ac:dyDescent="0.25">
      <c r="A266" t="s">
        <v>583</v>
      </c>
      <c r="B266">
        <v>24</v>
      </c>
      <c r="C266" t="s">
        <v>154</v>
      </c>
      <c r="D266" t="s">
        <v>540</v>
      </c>
      <c r="E266" t="s">
        <v>97</v>
      </c>
      <c r="F266" t="s">
        <v>108</v>
      </c>
      <c r="G266" t="s">
        <v>109</v>
      </c>
      <c r="H266" t="s">
        <v>124</v>
      </c>
      <c r="I266" t="s">
        <v>543</v>
      </c>
      <c r="J266" t="s">
        <v>462</v>
      </c>
      <c r="K266" t="s">
        <v>73</v>
      </c>
      <c r="L266">
        <v>6.5</v>
      </c>
      <c r="M266">
        <v>6</v>
      </c>
      <c r="N266" t="s">
        <v>93</v>
      </c>
      <c r="O266" t="s">
        <v>74</v>
      </c>
      <c r="P266" t="s">
        <v>100</v>
      </c>
      <c r="Q266" t="s">
        <v>101</v>
      </c>
      <c r="R266" t="s">
        <v>78</v>
      </c>
      <c r="S266" t="s">
        <v>102</v>
      </c>
      <c r="T266" t="s">
        <v>102</v>
      </c>
      <c r="U266" t="s">
        <v>80</v>
      </c>
      <c r="V266" t="s">
        <v>80</v>
      </c>
      <c r="W266" t="s">
        <v>78</v>
      </c>
      <c r="X266" t="s">
        <v>363</v>
      </c>
      <c r="Y266">
        <v>10.5</v>
      </c>
      <c r="Z266">
        <v>6</v>
      </c>
      <c r="AA266" t="s">
        <v>82</v>
      </c>
      <c r="AB266" t="s">
        <v>83</v>
      </c>
      <c r="AC266">
        <v>0</v>
      </c>
      <c r="AD266">
        <v>8</v>
      </c>
      <c r="AE266">
        <v>4</v>
      </c>
      <c r="AF266">
        <v>7</v>
      </c>
      <c r="AG266">
        <v>7</v>
      </c>
      <c r="AH266">
        <v>7</v>
      </c>
      <c r="AI266" t="s">
        <v>80</v>
      </c>
      <c r="AJ266" t="s">
        <v>80</v>
      </c>
      <c r="AK266">
        <v>10</v>
      </c>
      <c r="AL266">
        <v>22</v>
      </c>
      <c r="AM266" t="s">
        <v>84</v>
      </c>
      <c r="AN266" t="s">
        <v>80</v>
      </c>
      <c r="AO266" t="s">
        <v>80</v>
      </c>
      <c r="AP266" t="s">
        <v>80</v>
      </c>
      <c r="AQ266">
        <v>4</v>
      </c>
      <c r="AR266">
        <v>4</v>
      </c>
      <c r="AS266">
        <v>4</v>
      </c>
      <c r="AT266" t="s">
        <v>85</v>
      </c>
      <c r="AU266">
        <v>12</v>
      </c>
      <c r="AV266" t="s">
        <v>80</v>
      </c>
      <c r="AW266" t="s">
        <v>80</v>
      </c>
      <c r="AX266">
        <v>7</v>
      </c>
      <c r="AY266" t="s">
        <v>78</v>
      </c>
      <c r="AZ266" t="s">
        <v>80</v>
      </c>
      <c r="BA266">
        <v>8</v>
      </c>
      <c r="BB266">
        <v>8</v>
      </c>
      <c r="BC266" t="s">
        <v>80</v>
      </c>
      <c r="BD266">
        <v>8</v>
      </c>
      <c r="BE266">
        <v>3</v>
      </c>
      <c r="BF266">
        <v>5</v>
      </c>
      <c r="BG266" t="s">
        <v>584</v>
      </c>
      <c r="BH266" t="s">
        <v>104</v>
      </c>
      <c r="BI266">
        <v>7.8</v>
      </c>
      <c r="BJ266">
        <v>8.1999999999999993</v>
      </c>
      <c r="BK266">
        <v>2.9</v>
      </c>
      <c r="BL266">
        <v>8.6999999999999993</v>
      </c>
    </row>
    <row r="267" spans="1:64" x14ac:dyDescent="0.25">
      <c r="A267" t="s">
        <v>585</v>
      </c>
      <c r="B267">
        <v>31</v>
      </c>
      <c r="C267" t="s">
        <v>278</v>
      </c>
      <c r="D267" t="s">
        <v>66</v>
      </c>
      <c r="E267" t="s">
        <v>114</v>
      </c>
      <c r="F267" t="s">
        <v>115</v>
      </c>
      <c r="G267" t="s">
        <v>116</v>
      </c>
      <c r="H267" t="s">
        <v>124</v>
      </c>
      <c r="I267" t="s">
        <v>178</v>
      </c>
      <c r="J267" t="s">
        <v>250</v>
      </c>
      <c r="K267" t="s">
        <v>73</v>
      </c>
      <c r="L267">
        <v>6</v>
      </c>
      <c r="M267">
        <v>7</v>
      </c>
      <c r="N267" t="s">
        <v>74</v>
      </c>
      <c r="O267" t="s">
        <v>93</v>
      </c>
      <c r="P267" t="s">
        <v>76</v>
      </c>
      <c r="Q267" t="s">
        <v>77</v>
      </c>
      <c r="R267" t="s">
        <v>78</v>
      </c>
      <c r="S267" t="s">
        <v>102</v>
      </c>
      <c r="T267" t="s">
        <v>102</v>
      </c>
      <c r="U267" t="s">
        <v>80</v>
      </c>
      <c r="V267" t="s">
        <v>80</v>
      </c>
      <c r="W267" t="s">
        <v>78</v>
      </c>
      <c r="X267" t="s">
        <v>320</v>
      </c>
      <c r="Y267">
        <v>10</v>
      </c>
      <c r="Z267">
        <v>6.5</v>
      </c>
      <c r="AA267" t="s">
        <v>126</v>
      </c>
      <c r="AB267" t="s">
        <v>83</v>
      </c>
      <c r="AC267">
        <v>5.5</v>
      </c>
      <c r="AD267">
        <v>8</v>
      </c>
      <c r="AE267">
        <v>4</v>
      </c>
      <c r="AF267">
        <v>7</v>
      </c>
      <c r="AG267">
        <v>7</v>
      </c>
      <c r="AH267">
        <v>7</v>
      </c>
      <c r="AI267" t="s">
        <v>80</v>
      </c>
      <c r="AJ267" t="s">
        <v>80</v>
      </c>
      <c r="AK267">
        <v>11</v>
      </c>
      <c r="AL267">
        <v>24</v>
      </c>
      <c r="AM267" t="s">
        <v>84</v>
      </c>
      <c r="AN267" t="s">
        <v>80</v>
      </c>
      <c r="AO267" t="s">
        <v>80</v>
      </c>
      <c r="AP267" t="s">
        <v>80</v>
      </c>
      <c r="AQ267">
        <v>4</v>
      </c>
      <c r="AR267">
        <v>3</v>
      </c>
      <c r="AS267">
        <v>4</v>
      </c>
      <c r="AT267" t="s">
        <v>85</v>
      </c>
      <c r="AU267">
        <v>13</v>
      </c>
      <c r="AV267" t="s">
        <v>80</v>
      </c>
      <c r="AW267" t="s">
        <v>80</v>
      </c>
      <c r="AX267">
        <v>7</v>
      </c>
      <c r="AY267" t="s">
        <v>78</v>
      </c>
      <c r="AZ267" t="s">
        <v>80</v>
      </c>
      <c r="BA267">
        <v>8</v>
      </c>
      <c r="BB267">
        <v>8</v>
      </c>
      <c r="BC267" t="s">
        <v>80</v>
      </c>
      <c r="BD267">
        <v>8</v>
      </c>
      <c r="BE267">
        <v>2</v>
      </c>
      <c r="BF267">
        <v>5</v>
      </c>
      <c r="BG267" t="s">
        <v>117</v>
      </c>
      <c r="BH267" t="s">
        <v>104</v>
      </c>
      <c r="BI267">
        <v>7.8</v>
      </c>
      <c r="BJ267">
        <v>8.1999999999999993</v>
      </c>
      <c r="BK267">
        <v>2.9</v>
      </c>
      <c r="BL267">
        <v>8.6999999999999993</v>
      </c>
    </row>
    <row r="268" spans="1:64" x14ac:dyDescent="0.25">
      <c r="A268" t="s">
        <v>586</v>
      </c>
      <c r="B268">
        <v>19</v>
      </c>
      <c r="C268" t="s">
        <v>106</v>
      </c>
      <c r="D268" t="s">
        <v>89</v>
      </c>
      <c r="E268" t="s">
        <v>67</v>
      </c>
      <c r="F268" t="s">
        <v>119</v>
      </c>
      <c r="G268" t="s">
        <v>120</v>
      </c>
      <c r="H268" t="s">
        <v>70</v>
      </c>
      <c r="I268" t="s">
        <v>71</v>
      </c>
      <c r="J268" t="s">
        <v>72</v>
      </c>
      <c r="K268" t="s">
        <v>73</v>
      </c>
      <c r="L268">
        <v>7</v>
      </c>
      <c r="M268">
        <v>4</v>
      </c>
      <c r="N268" t="s">
        <v>75</v>
      </c>
      <c r="O268" t="s">
        <v>93</v>
      </c>
      <c r="P268" t="s">
        <v>76</v>
      </c>
      <c r="Q268" t="s">
        <v>77</v>
      </c>
      <c r="R268" t="s">
        <v>78</v>
      </c>
      <c r="S268" t="s">
        <v>79</v>
      </c>
      <c r="T268" t="s">
        <v>102</v>
      </c>
      <c r="U268" t="s">
        <v>80</v>
      </c>
      <c r="V268" t="s">
        <v>80</v>
      </c>
      <c r="W268" t="s">
        <v>78</v>
      </c>
      <c r="X268" t="s">
        <v>547</v>
      </c>
      <c r="Y268">
        <v>11</v>
      </c>
      <c r="Z268">
        <v>5.5</v>
      </c>
      <c r="AA268" t="s">
        <v>82</v>
      </c>
      <c r="AB268" t="s">
        <v>83</v>
      </c>
      <c r="AC268">
        <v>6</v>
      </c>
      <c r="AD268">
        <v>9</v>
      </c>
      <c r="AE268">
        <v>5</v>
      </c>
      <c r="AF268">
        <v>8</v>
      </c>
      <c r="AG268">
        <v>7</v>
      </c>
      <c r="AH268">
        <v>7</v>
      </c>
      <c r="AI268" t="s">
        <v>80</v>
      </c>
      <c r="AJ268" t="s">
        <v>80</v>
      </c>
      <c r="AK268">
        <v>9</v>
      </c>
      <c r="AL268">
        <v>19</v>
      </c>
      <c r="AM268" t="s">
        <v>84</v>
      </c>
      <c r="AN268" t="s">
        <v>80</v>
      </c>
      <c r="AO268" t="s">
        <v>80</v>
      </c>
      <c r="AP268" t="s">
        <v>80</v>
      </c>
      <c r="AQ268">
        <v>3</v>
      </c>
      <c r="AR268">
        <v>3</v>
      </c>
      <c r="AS268">
        <v>3</v>
      </c>
      <c r="AT268" t="s">
        <v>85</v>
      </c>
      <c r="AU268">
        <v>10</v>
      </c>
      <c r="AV268" t="s">
        <v>80</v>
      </c>
      <c r="AW268" t="s">
        <v>80</v>
      </c>
      <c r="AX268">
        <v>7</v>
      </c>
      <c r="AY268" t="s">
        <v>78</v>
      </c>
      <c r="AZ268" t="s">
        <v>80</v>
      </c>
      <c r="BA268">
        <v>9</v>
      </c>
      <c r="BB268">
        <v>8</v>
      </c>
      <c r="BC268" t="s">
        <v>80</v>
      </c>
      <c r="BD268">
        <v>9</v>
      </c>
      <c r="BE268">
        <v>2</v>
      </c>
      <c r="BF268">
        <v>4</v>
      </c>
      <c r="BG268" t="s">
        <v>86</v>
      </c>
      <c r="BH268" t="s">
        <v>87</v>
      </c>
      <c r="BI268">
        <v>9</v>
      </c>
      <c r="BJ268">
        <v>9.3000000000000007</v>
      </c>
      <c r="BK268">
        <v>2.2000000000000002</v>
      </c>
      <c r="BL268">
        <v>9.6</v>
      </c>
    </row>
    <row r="269" spans="1:64" x14ac:dyDescent="0.25">
      <c r="A269" t="s">
        <v>587</v>
      </c>
      <c r="B269">
        <v>52</v>
      </c>
      <c r="C269" t="s">
        <v>453</v>
      </c>
      <c r="D269" t="s">
        <v>66</v>
      </c>
      <c r="E269" t="s">
        <v>107</v>
      </c>
      <c r="F269" t="s">
        <v>108</v>
      </c>
      <c r="G269" t="s">
        <v>109</v>
      </c>
      <c r="H269" t="s">
        <v>279</v>
      </c>
      <c r="I269" t="s">
        <v>166</v>
      </c>
      <c r="J269" t="s">
        <v>72</v>
      </c>
      <c r="K269" t="s">
        <v>535</v>
      </c>
      <c r="L269">
        <v>5</v>
      </c>
      <c r="M269">
        <v>12</v>
      </c>
      <c r="N269" t="s">
        <v>74</v>
      </c>
      <c r="O269" t="s">
        <v>135</v>
      </c>
      <c r="P269" t="s">
        <v>100</v>
      </c>
      <c r="Q269" t="s">
        <v>101</v>
      </c>
      <c r="R269" t="s">
        <v>102</v>
      </c>
      <c r="S269" t="s">
        <v>111</v>
      </c>
      <c r="T269" t="s">
        <v>111</v>
      </c>
      <c r="U269" t="s">
        <v>80</v>
      </c>
      <c r="V269" t="s">
        <v>111</v>
      </c>
      <c r="W269" t="s">
        <v>102</v>
      </c>
      <c r="X269" t="s">
        <v>327</v>
      </c>
      <c r="Y269">
        <v>9</v>
      </c>
      <c r="Z269">
        <v>6.5</v>
      </c>
      <c r="AA269" t="s">
        <v>126</v>
      </c>
      <c r="AB269" t="s">
        <v>103</v>
      </c>
      <c r="AC269">
        <v>8.5</v>
      </c>
      <c r="AD269">
        <v>6</v>
      </c>
      <c r="AE269">
        <v>3</v>
      </c>
      <c r="AF269">
        <v>5</v>
      </c>
      <c r="AG269">
        <v>5</v>
      </c>
      <c r="AH269">
        <v>5</v>
      </c>
      <c r="AI269" t="s">
        <v>80</v>
      </c>
      <c r="AJ269" t="s">
        <v>111</v>
      </c>
      <c r="AK269">
        <v>18</v>
      </c>
      <c r="AL269">
        <v>42</v>
      </c>
      <c r="AM269" t="s">
        <v>131</v>
      </c>
      <c r="AN269" t="s">
        <v>111</v>
      </c>
      <c r="AO269" t="s">
        <v>111</v>
      </c>
      <c r="AP269" t="s">
        <v>111</v>
      </c>
      <c r="AQ269">
        <v>5</v>
      </c>
      <c r="AR269">
        <v>5</v>
      </c>
      <c r="AS269">
        <v>5</v>
      </c>
      <c r="AT269" t="s">
        <v>131</v>
      </c>
      <c r="AU269">
        <v>22</v>
      </c>
      <c r="AV269" t="s">
        <v>80</v>
      </c>
      <c r="AW269" t="s">
        <v>111</v>
      </c>
      <c r="AX269">
        <v>5</v>
      </c>
      <c r="AY269" t="s">
        <v>102</v>
      </c>
      <c r="AZ269" t="s">
        <v>111</v>
      </c>
      <c r="BA269">
        <v>5</v>
      </c>
      <c r="BB269">
        <v>5</v>
      </c>
      <c r="BC269" t="s">
        <v>111</v>
      </c>
      <c r="BD269">
        <v>5</v>
      </c>
      <c r="BE269">
        <v>4</v>
      </c>
      <c r="BF269">
        <v>14</v>
      </c>
      <c r="BG269" t="s">
        <v>152</v>
      </c>
      <c r="BH269" t="s">
        <v>171</v>
      </c>
      <c r="BI269">
        <v>5.5</v>
      </c>
      <c r="BJ269">
        <v>6</v>
      </c>
      <c r="BK269">
        <v>4.8</v>
      </c>
      <c r="BL269">
        <v>6.5</v>
      </c>
    </row>
    <row r="270" spans="1:64" x14ac:dyDescent="0.25">
      <c r="A270" t="s">
        <v>588</v>
      </c>
      <c r="B270">
        <v>26</v>
      </c>
      <c r="C270" t="s">
        <v>154</v>
      </c>
      <c r="D270" t="s">
        <v>66</v>
      </c>
      <c r="E270" t="s">
        <v>90</v>
      </c>
      <c r="F270" t="s">
        <v>240</v>
      </c>
      <c r="G270" t="s">
        <v>241</v>
      </c>
      <c r="H270" t="s">
        <v>124</v>
      </c>
      <c r="I270" t="s">
        <v>166</v>
      </c>
      <c r="J270" t="s">
        <v>242</v>
      </c>
      <c r="K270" t="s">
        <v>143</v>
      </c>
      <c r="L270">
        <v>5.5</v>
      </c>
      <c r="M270">
        <v>6</v>
      </c>
      <c r="N270" t="s">
        <v>74</v>
      </c>
      <c r="O270" t="s">
        <v>93</v>
      </c>
      <c r="P270" t="s">
        <v>100</v>
      </c>
      <c r="Q270" t="s">
        <v>101</v>
      </c>
      <c r="R270" t="s">
        <v>102</v>
      </c>
      <c r="S270" t="s">
        <v>102</v>
      </c>
      <c r="T270" t="s">
        <v>111</v>
      </c>
      <c r="U270" t="s">
        <v>80</v>
      </c>
      <c r="V270" t="s">
        <v>80</v>
      </c>
      <c r="W270" t="s">
        <v>102</v>
      </c>
      <c r="X270" t="s">
        <v>320</v>
      </c>
      <c r="Y270">
        <v>9.5</v>
      </c>
      <c r="Z270">
        <v>7</v>
      </c>
      <c r="AA270" t="s">
        <v>126</v>
      </c>
      <c r="AB270" t="s">
        <v>103</v>
      </c>
      <c r="AC270">
        <v>8.5</v>
      </c>
      <c r="AD270">
        <v>7</v>
      </c>
      <c r="AE270">
        <v>3</v>
      </c>
      <c r="AF270">
        <v>6</v>
      </c>
      <c r="AG270">
        <v>6</v>
      </c>
      <c r="AH270">
        <v>5</v>
      </c>
      <c r="AI270" t="s">
        <v>80</v>
      </c>
      <c r="AJ270" t="s">
        <v>111</v>
      </c>
      <c r="AK270">
        <v>15</v>
      </c>
      <c r="AL270">
        <v>35</v>
      </c>
      <c r="AM270" t="s">
        <v>131</v>
      </c>
      <c r="AN270" t="s">
        <v>111</v>
      </c>
      <c r="AO270" t="s">
        <v>80</v>
      </c>
      <c r="AP270" t="s">
        <v>111</v>
      </c>
      <c r="AQ270">
        <v>5</v>
      </c>
      <c r="AR270">
        <v>4</v>
      </c>
      <c r="AS270">
        <v>5</v>
      </c>
      <c r="AT270" t="s">
        <v>131</v>
      </c>
      <c r="AU270">
        <v>20</v>
      </c>
      <c r="AV270" t="s">
        <v>80</v>
      </c>
      <c r="AW270" t="s">
        <v>80</v>
      </c>
      <c r="AX270">
        <v>5</v>
      </c>
      <c r="AY270" t="s">
        <v>102</v>
      </c>
      <c r="AZ270" t="s">
        <v>80</v>
      </c>
      <c r="BA270">
        <v>6</v>
      </c>
      <c r="BB270">
        <v>5</v>
      </c>
      <c r="BC270" t="s">
        <v>111</v>
      </c>
      <c r="BD270">
        <v>6</v>
      </c>
      <c r="BE270">
        <v>4</v>
      </c>
      <c r="BF270">
        <v>10</v>
      </c>
      <c r="BG270" t="s">
        <v>152</v>
      </c>
      <c r="BH270" t="s">
        <v>131</v>
      </c>
      <c r="BI270">
        <v>5.8</v>
      </c>
      <c r="BJ270">
        <v>6.4</v>
      </c>
      <c r="BK270">
        <v>4.5999999999999996</v>
      </c>
      <c r="BL270">
        <v>6.8</v>
      </c>
    </row>
    <row r="271" spans="1:64" x14ac:dyDescent="0.25">
      <c r="A271" t="s">
        <v>589</v>
      </c>
      <c r="B271">
        <v>43</v>
      </c>
      <c r="C271" t="s">
        <v>382</v>
      </c>
      <c r="D271" t="s">
        <v>89</v>
      </c>
      <c r="E271" t="s">
        <v>97</v>
      </c>
      <c r="F271" t="s">
        <v>98</v>
      </c>
      <c r="G271" t="s">
        <v>99</v>
      </c>
      <c r="H271" t="s">
        <v>279</v>
      </c>
      <c r="I271" t="s">
        <v>166</v>
      </c>
      <c r="J271" t="s">
        <v>167</v>
      </c>
      <c r="K271" t="s">
        <v>290</v>
      </c>
      <c r="L271">
        <v>4.5</v>
      </c>
      <c r="M271">
        <v>11</v>
      </c>
      <c r="N271" t="s">
        <v>75</v>
      </c>
      <c r="O271" t="s">
        <v>74</v>
      </c>
      <c r="P271" t="s">
        <v>100</v>
      </c>
      <c r="Q271" t="s">
        <v>101</v>
      </c>
      <c r="R271" t="s">
        <v>111</v>
      </c>
      <c r="S271" t="s">
        <v>102</v>
      </c>
      <c r="T271" t="s">
        <v>111</v>
      </c>
      <c r="U271" t="s">
        <v>80</v>
      </c>
      <c r="V271" t="s">
        <v>111</v>
      </c>
      <c r="W271" t="s">
        <v>102</v>
      </c>
      <c r="X271" t="s">
        <v>355</v>
      </c>
      <c r="Y271">
        <v>8.5</v>
      </c>
      <c r="Z271">
        <v>7.5</v>
      </c>
      <c r="AA271" t="s">
        <v>266</v>
      </c>
      <c r="AB271" t="s">
        <v>103</v>
      </c>
      <c r="AC271">
        <v>9</v>
      </c>
      <c r="AD271">
        <v>5</v>
      </c>
      <c r="AE271">
        <v>3</v>
      </c>
      <c r="AF271">
        <v>5</v>
      </c>
      <c r="AG271">
        <v>4</v>
      </c>
      <c r="AH271">
        <v>4</v>
      </c>
      <c r="AI271" t="s">
        <v>111</v>
      </c>
      <c r="AJ271" t="s">
        <v>111</v>
      </c>
      <c r="AK271">
        <v>20</v>
      </c>
      <c r="AL271">
        <v>48</v>
      </c>
      <c r="AM271" t="s">
        <v>131</v>
      </c>
      <c r="AN271" t="s">
        <v>111</v>
      </c>
      <c r="AO271" t="s">
        <v>111</v>
      </c>
      <c r="AP271" t="s">
        <v>111</v>
      </c>
      <c r="AQ271">
        <v>5</v>
      </c>
      <c r="AR271">
        <v>5</v>
      </c>
      <c r="AS271">
        <v>5</v>
      </c>
      <c r="AT271" t="s">
        <v>131</v>
      </c>
      <c r="AU271">
        <v>26</v>
      </c>
      <c r="AV271" t="s">
        <v>111</v>
      </c>
      <c r="AW271" t="s">
        <v>111</v>
      </c>
      <c r="AX271">
        <v>4</v>
      </c>
      <c r="AY271" t="s">
        <v>111</v>
      </c>
      <c r="AZ271" t="s">
        <v>111</v>
      </c>
      <c r="BA271">
        <v>4</v>
      </c>
      <c r="BB271">
        <v>4</v>
      </c>
      <c r="BC271" t="s">
        <v>111</v>
      </c>
      <c r="BD271">
        <v>4</v>
      </c>
      <c r="BE271">
        <v>5</v>
      </c>
      <c r="BF271">
        <v>18</v>
      </c>
      <c r="BG271" t="s">
        <v>86</v>
      </c>
      <c r="BH271" t="s">
        <v>171</v>
      </c>
      <c r="BI271">
        <v>5.2</v>
      </c>
      <c r="BJ271">
        <v>5.8</v>
      </c>
      <c r="BK271">
        <v>5</v>
      </c>
      <c r="BL271">
        <v>6.2</v>
      </c>
    </row>
    <row r="272" spans="1:64" x14ac:dyDescent="0.25">
      <c r="A272" t="s">
        <v>590</v>
      </c>
      <c r="B272">
        <v>21</v>
      </c>
      <c r="C272" t="s">
        <v>106</v>
      </c>
      <c r="D272" t="s">
        <v>66</v>
      </c>
      <c r="E272" t="s">
        <v>107</v>
      </c>
      <c r="F272" t="s">
        <v>160</v>
      </c>
      <c r="G272" t="s">
        <v>161</v>
      </c>
      <c r="H272" t="s">
        <v>124</v>
      </c>
      <c r="I272" t="s">
        <v>71</v>
      </c>
      <c r="J272" t="s">
        <v>72</v>
      </c>
      <c r="K272" t="s">
        <v>73</v>
      </c>
      <c r="L272">
        <v>7.5</v>
      </c>
      <c r="M272">
        <v>5</v>
      </c>
      <c r="N272" t="s">
        <v>93</v>
      </c>
      <c r="O272" t="s">
        <v>74</v>
      </c>
      <c r="P272" t="s">
        <v>76</v>
      </c>
      <c r="Q272" t="s">
        <v>77</v>
      </c>
      <c r="R272" t="s">
        <v>78</v>
      </c>
      <c r="S272" t="s">
        <v>79</v>
      </c>
      <c r="T272" t="s">
        <v>79</v>
      </c>
      <c r="U272" t="s">
        <v>80</v>
      </c>
      <c r="V272" t="s">
        <v>80</v>
      </c>
      <c r="W272" t="s">
        <v>78</v>
      </c>
      <c r="X272" t="s">
        <v>81</v>
      </c>
      <c r="Y272">
        <v>11.5</v>
      </c>
      <c r="Z272">
        <v>5.5</v>
      </c>
      <c r="AA272" t="s">
        <v>82</v>
      </c>
      <c r="AB272" t="s">
        <v>83</v>
      </c>
      <c r="AC272">
        <v>6</v>
      </c>
      <c r="AD272">
        <v>9</v>
      </c>
      <c r="AE272">
        <v>5</v>
      </c>
      <c r="AF272">
        <v>8</v>
      </c>
      <c r="AG272">
        <v>8</v>
      </c>
      <c r="AH272">
        <v>9</v>
      </c>
      <c r="AI272" t="s">
        <v>80</v>
      </c>
      <c r="AJ272" t="s">
        <v>80</v>
      </c>
      <c r="AK272">
        <v>8</v>
      </c>
      <c r="AL272">
        <v>17</v>
      </c>
      <c r="AM272" t="s">
        <v>84</v>
      </c>
      <c r="AN272" t="s">
        <v>80</v>
      </c>
      <c r="AO272" t="s">
        <v>80</v>
      </c>
      <c r="AP272" t="s">
        <v>80</v>
      </c>
      <c r="AQ272">
        <v>3</v>
      </c>
      <c r="AR272">
        <v>3</v>
      </c>
      <c r="AS272">
        <v>3</v>
      </c>
      <c r="AT272" t="s">
        <v>85</v>
      </c>
      <c r="AU272">
        <v>9</v>
      </c>
      <c r="AV272" t="s">
        <v>80</v>
      </c>
      <c r="AW272" t="s">
        <v>80</v>
      </c>
      <c r="AX272">
        <v>8</v>
      </c>
      <c r="AY272" t="s">
        <v>78</v>
      </c>
      <c r="AZ272" t="s">
        <v>80</v>
      </c>
      <c r="BA272">
        <v>9</v>
      </c>
      <c r="BB272">
        <v>9</v>
      </c>
      <c r="BC272" t="s">
        <v>80</v>
      </c>
      <c r="BD272">
        <v>9</v>
      </c>
      <c r="BE272">
        <v>2</v>
      </c>
      <c r="BF272">
        <v>3</v>
      </c>
      <c r="BG272" t="s">
        <v>117</v>
      </c>
      <c r="BH272" t="s">
        <v>87</v>
      </c>
      <c r="BI272">
        <v>9.1999999999999993</v>
      </c>
      <c r="BJ272">
        <v>9.5</v>
      </c>
      <c r="BK272">
        <v>2</v>
      </c>
      <c r="BL272">
        <v>9.6999999999999993</v>
      </c>
    </row>
    <row r="273" spans="1:64" x14ac:dyDescent="0.25">
      <c r="A273" t="s">
        <v>591</v>
      </c>
      <c r="B273">
        <v>38</v>
      </c>
      <c r="C273" t="s">
        <v>382</v>
      </c>
      <c r="D273" t="s">
        <v>89</v>
      </c>
      <c r="E273" t="s">
        <v>67</v>
      </c>
      <c r="F273" t="s">
        <v>68</v>
      </c>
      <c r="G273" t="s">
        <v>69</v>
      </c>
      <c r="H273" t="s">
        <v>279</v>
      </c>
      <c r="I273" t="s">
        <v>166</v>
      </c>
      <c r="J273" t="s">
        <v>315</v>
      </c>
      <c r="K273" t="s">
        <v>290</v>
      </c>
      <c r="L273">
        <v>3.5</v>
      </c>
      <c r="M273">
        <v>10</v>
      </c>
      <c r="N273" t="s">
        <v>75</v>
      </c>
      <c r="O273" t="s">
        <v>272</v>
      </c>
      <c r="P273" t="s">
        <v>100</v>
      </c>
      <c r="Q273" t="s">
        <v>101</v>
      </c>
      <c r="R273" t="s">
        <v>111</v>
      </c>
      <c r="S273" t="s">
        <v>111</v>
      </c>
      <c r="T273" t="s">
        <v>111</v>
      </c>
      <c r="U273" t="s">
        <v>80</v>
      </c>
      <c r="V273" t="s">
        <v>111</v>
      </c>
      <c r="W273" t="s">
        <v>111</v>
      </c>
      <c r="X273" t="s">
        <v>592</v>
      </c>
      <c r="Y273">
        <v>7.5</v>
      </c>
      <c r="Z273">
        <v>7.5</v>
      </c>
      <c r="AA273" t="s">
        <v>266</v>
      </c>
      <c r="AB273" t="s">
        <v>275</v>
      </c>
      <c r="AC273">
        <v>9</v>
      </c>
      <c r="AD273">
        <v>4</v>
      </c>
      <c r="AE273">
        <v>2</v>
      </c>
      <c r="AF273">
        <v>4</v>
      </c>
      <c r="AG273">
        <v>4</v>
      </c>
      <c r="AH273">
        <v>3</v>
      </c>
      <c r="AI273" t="s">
        <v>111</v>
      </c>
      <c r="AJ273" t="s">
        <v>111</v>
      </c>
      <c r="AK273">
        <v>24</v>
      </c>
      <c r="AL273">
        <v>60</v>
      </c>
      <c r="AM273" t="s">
        <v>85</v>
      </c>
      <c r="AN273" t="s">
        <v>111</v>
      </c>
      <c r="AO273" t="s">
        <v>111</v>
      </c>
      <c r="AP273" t="s">
        <v>274</v>
      </c>
      <c r="AQ273">
        <v>6</v>
      </c>
      <c r="AR273">
        <v>6</v>
      </c>
      <c r="AS273">
        <v>6</v>
      </c>
      <c r="AT273" t="s">
        <v>266</v>
      </c>
      <c r="AU273">
        <v>35</v>
      </c>
      <c r="AV273" t="s">
        <v>111</v>
      </c>
      <c r="AW273" t="s">
        <v>274</v>
      </c>
      <c r="AX273">
        <v>3</v>
      </c>
      <c r="AY273" t="s">
        <v>274</v>
      </c>
      <c r="AZ273" t="s">
        <v>111</v>
      </c>
      <c r="BA273">
        <v>3</v>
      </c>
      <c r="BB273">
        <v>3</v>
      </c>
      <c r="BC273" t="s">
        <v>274</v>
      </c>
      <c r="BD273">
        <v>3</v>
      </c>
      <c r="BE273">
        <v>6</v>
      </c>
      <c r="BF273">
        <v>28</v>
      </c>
      <c r="BG273" t="s">
        <v>568</v>
      </c>
      <c r="BH273" t="s">
        <v>281</v>
      </c>
      <c r="BI273">
        <v>3.2</v>
      </c>
      <c r="BJ273">
        <v>3.8</v>
      </c>
      <c r="BK273">
        <v>7</v>
      </c>
      <c r="BL273">
        <v>4</v>
      </c>
    </row>
    <row r="274" spans="1:64" x14ac:dyDescent="0.25">
      <c r="A274" t="s">
        <v>593</v>
      </c>
      <c r="B274">
        <v>27</v>
      </c>
      <c r="C274" t="s">
        <v>154</v>
      </c>
      <c r="D274" t="s">
        <v>540</v>
      </c>
      <c r="E274" t="s">
        <v>107</v>
      </c>
      <c r="F274" t="s">
        <v>204</v>
      </c>
      <c r="G274" t="s">
        <v>205</v>
      </c>
      <c r="H274" t="s">
        <v>279</v>
      </c>
      <c r="I274" t="s">
        <v>166</v>
      </c>
      <c r="J274" t="s">
        <v>193</v>
      </c>
      <c r="K274" t="s">
        <v>73</v>
      </c>
      <c r="L274">
        <v>5</v>
      </c>
      <c r="M274">
        <v>7</v>
      </c>
      <c r="N274" t="s">
        <v>74</v>
      </c>
      <c r="O274" t="s">
        <v>93</v>
      </c>
      <c r="P274" t="s">
        <v>100</v>
      </c>
      <c r="Q274" t="s">
        <v>101</v>
      </c>
      <c r="R274" t="s">
        <v>102</v>
      </c>
      <c r="S274" t="s">
        <v>111</v>
      </c>
      <c r="T274" t="s">
        <v>111</v>
      </c>
      <c r="U274" t="s">
        <v>80</v>
      </c>
      <c r="V274" t="s">
        <v>111</v>
      </c>
      <c r="W274" t="s">
        <v>102</v>
      </c>
      <c r="X274" t="s">
        <v>565</v>
      </c>
      <c r="Y274">
        <v>9</v>
      </c>
      <c r="Z274">
        <v>7</v>
      </c>
      <c r="AA274" t="s">
        <v>126</v>
      </c>
      <c r="AB274" t="s">
        <v>103</v>
      </c>
      <c r="AC274">
        <v>7</v>
      </c>
      <c r="AD274">
        <v>6</v>
      </c>
      <c r="AE274">
        <v>3</v>
      </c>
      <c r="AF274">
        <v>6</v>
      </c>
      <c r="AG274">
        <v>6</v>
      </c>
      <c r="AH274">
        <v>5</v>
      </c>
      <c r="AI274" t="s">
        <v>80</v>
      </c>
      <c r="AJ274" t="s">
        <v>111</v>
      </c>
      <c r="AK274">
        <v>16</v>
      </c>
      <c r="AL274">
        <v>38</v>
      </c>
      <c r="AM274" t="s">
        <v>131</v>
      </c>
      <c r="AN274" t="s">
        <v>111</v>
      </c>
      <c r="AO274" t="s">
        <v>111</v>
      </c>
      <c r="AP274" t="s">
        <v>111</v>
      </c>
      <c r="AQ274">
        <v>5</v>
      </c>
      <c r="AR274">
        <v>5</v>
      </c>
      <c r="AS274">
        <v>5</v>
      </c>
      <c r="AT274" t="s">
        <v>131</v>
      </c>
      <c r="AU274">
        <v>20</v>
      </c>
      <c r="AV274" t="s">
        <v>80</v>
      </c>
      <c r="AW274" t="s">
        <v>111</v>
      </c>
      <c r="AX274">
        <v>5</v>
      </c>
      <c r="AY274" t="s">
        <v>102</v>
      </c>
      <c r="AZ274" t="s">
        <v>111</v>
      </c>
      <c r="BA274">
        <v>5</v>
      </c>
      <c r="BB274">
        <v>5</v>
      </c>
      <c r="BC274" t="s">
        <v>111</v>
      </c>
      <c r="BD274">
        <v>5</v>
      </c>
      <c r="BE274">
        <v>4</v>
      </c>
      <c r="BF274">
        <v>14</v>
      </c>
      <c r="BG274" t="s">
        <v>551</v>
      </c>
      <c r="BH274" t="s">
        <v>131</v>
      </c>
      <c r="BI274">
        <v>5.8</v>
      </c>
      <c r="BJ274">
        <v>6.4</v>
      </c>
      <c r="BK274">
        <v>4.5999999999999996</v>
      </c>
      <c r="BL274">
        <v>6.8</v>
      </c>
    </row>
    <row r="275" spans="1:64" x14ac:dyDescent="0.25">
      <c r="A275" t="s">
        <v>594</v>
      </c>
      <c r="B275">
        <v>20</v>
      </c>
      <c r="C275" t="s">
        <v>106</v>
      </c>
      <c r="D275" t="s">
        <v>89</v>
      </c>
      <c r="E275" t="s">
        <v>97</v>
      </c>
      <c r="F275" t="s">
        <v>225</v>
      </c>
      <c r="G275" t="s">
        <v>226</v>
      </c>
      <c r="H275" t="s">
        <v>70</v>
      </c>
      <c r="I275" t="s">
        <v>71</v>
      </c>
      <c r="J275" t="s">
        <v>72</v>
      </c>
      <c r="K275" t="s">
        <v>73</v>
      </c>
      <c r="L275">
        <v>6.5</v>
      </c>
      <c r="M275">
        <v>4</v>
      </c>
      <c r="N275" t="s">
        <v>75</v>
      </c>
      <c r="O275" t="s">
        <v>93</v>
      </c>
      <c r="P275" t="s">
        <v>100</v>
      </c>
      <c r="Q275" t="s">
        <v>101</v>
      </c>
      <c r="R275" t="s">
        <v>78</v>
      </c>
      <c r="S275" t="s">
        <v>102</v>
      </c>
      <c r="T275" t="s">
        <v>102</v>
      </c>
      <c r="U275" t="s">
        <v>80</v>
      </c>
      <c r="V275" t="s">
        <v>80</v>
      </c>
      <c r="W275" t="s">
        <v>78</v>
      </c>
      <c r="X275" t="s">
        <v>595</v>
      </c>
      <c r="Y275">
        <v>10.5</v>
      </c>
      <c r="Z275">
        <v>6</v>
      </c>
      <c r="AA275" t="s">
        <v>82</v>
      </c>
      <c r="AB275" t="s">
        <v>103</v>
      </c>
      <c r="AC275">
        <v>6</v>
      </c>
      <c r="AD275">
        <v>8</v>
      </c>
      <c r="AE275">
        <v>4</v>
      </c>
      <c r="AF275">
        <v>7</v>
      </c>
      <c r="AG275">
        <v>6</v>
      </c>
      <c r="AH275">
        <v>6</v>
      </c>
      <c r="AI275" t="s">
        <v>80</v>
      </c>
      <c r="AJ275" t="s">
        <v>80</v>
      </c>
      <c r="AK275">
        <v>10</v>
      </c>
      <c r="AL275">
        <v>22</v>
      </c>
      <c r="AM275" t="s">
        <v>84</v>
      </c>
      <c r="AN275" t="s">
        <v>80</v>
      </c>
      <c r="AO275" t="s">
        <v>80</v>
      </c>
      <c r="AP275" t="s">
        <v>80</v>
      </c>
      <c r="AQ275">
        <v>4</v>
      </c>
      <c r="AR275">
        <v>3</v>
      </c>
      <c r="AS275">
        <v>4</v>
      </c>
      <c r="AT275" t="s">
        <v>85</v>
      </c>
      <c r="AU275">
        <v>12</v>
      </c>
      <c r="AV275" t="s">
        <v>80</v>
      </c>
      <c r="AW275" t="s">
        <v>80</v>
      </c>
      <c r="AX275">
        <v>7</v>
      </c>
      <c r="AY275" t="s">
        <v>78</v>
      </c>
      <c r="AZ275" t="s">
        <v>80</v>
      </c>
      <c r="BA275">
        <v>8</v>
      </c>
      <c r="BB275">
        <v>7</v>
      </c>
      <c r="BC275" t="s">
        <v>80</v>
      </c>
      <c r="BD275">
        <v>8</v>
      </c>
      <c r="BE275">
        <v>2</v>
      </c>
      <c r="BF275">
        <v>5</v>
      </c>
      <c r="BG275" t="s">
        <v>86</v>
      </c>
      <c r="BH275" t="s">
        <v>104</v>
      </c>
      <c r="BI275">
        <v>7.8</v>
      </c>
      <c r="BJ275">
        <v>8.1999999999999993</v>
      </c>
      <c r="BK275">
        <v>2.9</v>
      </c>
      <c r="BL275">
        <v>8.6999999999999993</v>
      </c>
    </row>
    <row r="276" spans="1:64" x14ac:dyDescent="0.25">
      <c r="A276" t="s">
        <v>596</v>
      </c>
      <c r="B276">
        <v>33</v>
      </c>
      <c r="C276" t="s">
        <v>278</v>
      </c>
      <c r="D276" t="s">
        <v>66</v>
      </c>
      <c r="E276" t="s">
        <v>114</v>
      </c>
      <c r="F276" t="s">
        <v>173</v>
      </c>
      <c r="G276" t="s">
        <v>174</v>
      </c>
      <c r="H276" t="s">
        <v>124</v>
      </c>
      <c r="I276" t="s">
        <v>166</v>
      </c>
      <c r="J276" t="s">
        <v>303</v>
      </c>
      <c r="K276" t="s">
        <v>143</v>
      </c>
      <c r="L276">
        <v>5</v>
      </c>
      <c r="M276">
        <v>8</v>
      </c>
      <c r="N276" t="s">
        <v>74</v>
      </c>
      <c r="O276" t="s">
        <v>93</v>
      </c>
      <c r="P276" t="s">
        <v>100</v>
      </c>
      <c r="Q276" t="s">
        <v>101</v>
      </c>
      <c r="R276" t="s">
        <v>102</v>
      </c>
      <c r="S276" t="s">
        <v>102</v>
      </c>
      <c r="T276" t="s">
        <v>111</v>
      </c>
      <c r="U276" t="s">
        <v>80</v>
      </c>
      <c r="V276" t="s">
        <v>111</v>
      </c>
      <c r="W276" t="s">
        <v>102</v>
      </c>
      <c r="X276" t="s">
        <v>370</v>
      </c>
      <c r="Y276">
        <v>9</v>
      </c>
      <c r="Z276">
        <v>7</v>
      </c>
      <c r="AA276" t="s">
        <v>126</v>
      </c>
      <c r="AB276" t="s">
        <v>103</v>
      </c>
      <c r="AC276">
        <v>8.5</v>
      </c>
      <c r="AD276">
        <v>6</v>
      </c>
      <c r="AE276">
        <v>3</v>
      </c>
      <c r="AF276">
        <v>6</v>
      </c>
      <c r="AG276">
        <v>6</v>
      </c>
      <c r="AH276">
        <v>5</v>
      </c>
      <c r="AI276" t="s">
        <v>80</v>
      </c>
      <c r="AJ276" t="s">
        <v>111</v>
      </c>
      <c r="AK276">
        <v>16</v>
      </c>
      <c r="AL276">
        <v>38</v>
      </c>
      <c r="AM276" t="s">
        <v>131</v>
      </c>
      <c r="AN276" t="s">
        <v>111</v>
      </c>
      <c r="AO276" t="s">
        <v>80</v>
      </c>
      <c r="AP276" t="s">
        <v>111</v>
      </c>
      <c r="AQ276">
        <v>5</v>
      </c>
      <c r="AR276">
        <v>4</v>
      </c>
      <c r="AS276">
        <v>5</v>
      </c>
      <c r="AT276" t="s">
        <v>131</v>
      </c>
      <c r="AU276">
        <v>20</v>
      </c>
      <c r="AV276" t="s">
        <v>80</v>
      </c>
      <c r="AW276" t="s">
        <v>80</v>
      </c>
      <c r="AX276">
        <v>5</v>
      </c>
      <c r="AY276" t="s">
        <v>102</v>
      </c>
      <c r="AZ276" t="s">
        <v>80</v>
      </c>
      <c r="BA276">
        <v>6</v>
      </c>
      <c r="BB276">
        <v>5</v>
      </c>
      <c r="BC276" t="s">
        <v>111</v>
      </c>
      <c r="BD276">
        <v>6</v>
      </c>
      <c r="BE276">
        <v>4</v>
      </c>
      <c r="BF276">
        <v>12</v>
      </c>
      <c r="BG276" t="s">
        <v>152</v>
      </c>
      <c r="BH276" t="s">
        <v>131</v>
      </c>
      <c r="BI276">
        <v>5.8</v>
      </c>
      <c r="BJ276">
        <v>6.4</v>
      </c>
      <c r="BK276">
        <v>4.5999999999999996</v>
      </c>
      <c r="BL276">
        <v>6.8</v>
      </c>
    </row>
    <row r="277" spans="1:64" x14ac:dyDescent="0.25">
      <c r="A277" t="s">
        <v>597</v>
      </c>
      <c r="B277">
        <v>48</v>
      </c>
      <c r="C277" t="s">
        <v>382</v>
      </c>
      <c r="D277" t="s">
        <v>66</v>
      </c>
      <c r="E277" t="s">
        <v>90</v>
      </c>
      <c r="F277" t="s">
        <v>233</v>
      </c>
      <c r="G277" t="s">
        <v>234</v>
      </c>
      <c r="H277" t="s">
        <v>279</v>
      </c>
      <c r="I277" t="s">
        <v>166</v>
      </c>
      <c r="J277" t="s">
        <v>285</v>
      </c>
      <c r="K277" t="s">
        <v>290</v>
      </c>
      <c r="L277">
        <v>4.5</v>
      </c>
      <c r="M277">
        <v>10</v>
      </c>
      <c r="N277" t="s">
        <v>135</v>
      </c>
      <c r="O277" t="s">
        <v>598</v>
      </c>
      <c r="P277" t="s">
        <v>100</v>
      </c>
      <c r="Q277" t="s">
        <v>101</v>
      </c>
      <c r="R277" t="s">
        <v>111</v>
      </c>
      <c r="S277" t="s">
        <v>111</v>
      </c>
      <c r="T277" t="s">
        <v>111</v>
      </c>
      <c r="U277" t="s">
        <v>80</v>
      </c>
      <c r="V277" t="s">
        <v>111</v>
      </c>
      <c r="W277" t="s">
        <v>111</v>
      </c>
      <c r="X277" t="s">
        <v>374</v>
      </c>
      <c r="Y277">
        <v>8.5</v>
      </c>
      <c r="Z277">
        <v>7.5</v>
      </c>
      <c r="AA277" t="s">
        <v>266</v>
      </c>
      <c r="AB277" t="s">
        <v>103</v>
      </c>
      <c r="AC277">
        <v>8.5</v>
      </c>
      <c r="AD277">
        <v>5</v>
      </c>
      <c r="AE277">
        <v>2</v>
      </c>
      <c r="AF277">
        <v>5</v>
      </c>
      <c r="AG277">
        <v>5</v>
      </c>
      <c r="AH277">
        <v>4</v>
      </c>
      <c r="AI277" t="s">
        <v>111</v>
      </c>
      <c r="AJ277" t="s">
        <v>111</v>
      </c>
      <c r="AK277">
        <v>20</v>
      </c>
      <c r="AL277">
        <v>50</v>
      </c>
      <c r="AM277" t="s">
        <v>131</v>
      </c>
      <c r="AN277" t="s">
        <v>111</v>
      </c>
      <c r="AO277" t="s">
        <v>111</v>
      </c>
      <c r="AP277" t="s">
        <v>274</v>
      </c>
      <c r="AQ277">
        <v>5</v>
      </c>
      <c r="AR277">
        <v>5</v>
      </c>
      <c r="AS277">
        <v>5</v>
      </c>
      <c r="AT277" t="s">
        <v>131</v>
      </c>
      <c r="AU277">
        <v>26</v>
      </c>
      <c r="AV277" t="s">
        <v>111</v>
      </c>
      <c r="AW277" t="s">
        <v>111</v>
      </c>
      <c r="AX277">
        <v>4</v>
      </c>
      <c r="AY277" t="s">
        <v>111</v>
      </c>
      <c r="AZ277" t="s">
        <v>111</v>
      </c>
      <c r="BA277">
        <v>4</v>
      </c>
      <c r="BB277">
        <v>4</v>
      </c>
      <c r="BC277" t="s">
        <v>111</v>
      </c>
      <c r="BD277">
        <v>4</v>
      </c>
      <c r="BE277">
        <v>5</v>
      </c>
      <c r="BF277">
        <v>18</v>
      </c>
      <c r="BG277" t="s">
        <v>117</v>
      </c>
      <c r="BH277" t="s">
        <v>171</v>
      </c>
      <c r="BI277">
        <v>5</v>
      </c>
      <c r="BJ277">
        <v>5.6</v>
      </c>
      <c r="BK277">
        <v>5.0999999999999996</v>
      </c>
      <c r="BL277">
        <v>6</v>
      </c>
    </row>
    <row r="278" spans="1:64" x14ac:dyDescent="0.25">
      <c r="A278" t="s">
        <v>599</v>
      </c>
      <c r="B278">
        <v>22</v>
      </c>
      <c r="C278" t="s">
        <v>106</v>
      </c>
      <c r="D278" t="s">
        <v>89</v>
      </c>
      <c r="E278" t="s">
        <v>67</v>
      </c>
      <c r="F278" t="s">
        <v>195</v>
      </c>
      <c r="G278" t="s">
        <v>196</v>
      </c>
      <c r="H278" t="s">
        <v>124</v>
      </c>
      <c r="I278" t="s">
        <v>71</v>
      </c>
      <c r="J278" t="s">
        <v>72</v>
      </c>
      <c r="K278" t="s">
        <v>73</v>
      </c>
      <c r="L278">
        <v>6</v>
      </c>
      <c r="M278">
        <v>4</v>
      </c>
      <c r="N278" t="s">
        <v>75</v>
      </c>
      <c r="O278" t="s">
        <v>135</v>
      </c>
      <c r="P278" t="s">
        <v>100</v>
      </c>
      <c r="Q278" t="s">
        <v>101</v>
      </c>
      <c r="R278" t="s">
        <v>78</v>
      </c>
      <c r="S278" t="s">
        <v>102</v>
      </c>
      <c r="T278" t="s">
        <v>111</v>
      </c>
      <c r="U278" t="s">
        <v>80</v>
      </c>
      <c r="V278" t="s">
        <v>80</v>
      </c>
      <c r="W278" t="s">
        <v>78</v>
      </c>
      <c r="X278" t="s">
        <v>600</v>
      </c>
      <c r="Y278">
        <v>10</v>
      </c>
      <c r="Z278">
        <v>6.5</v>
      </c>
      <c r="AA278" t="s">
        <v>126</v>
      </c>
      <c r="AB278" t="s">
        <v>103</v>
      </c>
      <c r="AC278">
        <v>6.5</v>
      </c>
      <c r="AD278">
        <v>7</v>
      </c>
      <c r="AE278">
        <v>3</v>
      </c>
      <c r="AF278">
        <v>6</v>
      </c>
      <c r="AG278">
        <v>5</v>
      </c>
      <c r="AH278">
        <v>5</v>
      </c>
      <c r="AI278" t="s">
        <v>80</v>
      </c>
      <c r="AJ278" t="s">
        <v>111</v>
      </c>
      <c r="AK278">
        <v>14</v>
      </c>
      <c r="AL278">
        <v>32</v>
      </c>
      <c r="AM278" t="s">
        <v>131</v>
      </c>
      <c r="AN278" t="s">
        <v>111</v>
      </c>
      <c r="AO278" t="s">
        <v>80</v>
      </c>
      <c r="AP278" t="s">
        <v>111</v>
      </c>
      <c r="AQ278">
        <v>5</v>
      </c>
      <c r="AR278">
        <v>4</v>
      </c>
      <c r="AS278">
        <v>5</v>
      </c>
      <c r="AT278" t="s">
        <v>131</v>
      </c>
      <c r="AU278">
        <v>18</v>
      </c>
      <c r="AV278" t="s">
        <v>80</v>
      </c>
      <c r="AW278" t="s">
        <v>80</v>
      </c>
      <c r="AX278">
        <v>5</v>
      </c>
      <c r="AY278" t="s">
        <v>102</v>
      </c>
      <c r="AZ278" t="s">
        <v>80</v>
      </c>
      <c r="BA278">
        <v>6</v>
      </c>
      <c r="BB278">
        <v>5</v>
      </c>
      <c r="BC278" t="s">
        <v>111</v>
      </c>
      <c r="BD278">
        <v>6</v>
      </c>
      <c r="BE278">
        <v>3</v>
      </c>
      <c r="BF278">
        <v>9</v>
      </c>
      <c r="BG278" t="s">
        <v>86</v>
      </c>
      <c r="BH278" t="s">
        <v>131</v>
      </c>
      <c r="BI278">
        <v>6.2</v>
      </c>
      <c r="BJ278">
        <v>6.8</v>
      </c>
      <c r="BK278">
        <v>4.2</v>
      </c>
      <c r="BL278">
        <v>7.2</v>
      </c>
    </row>
    <row r="279" spans="1:64" x14ac:dyDescent="0.25">
      <c r="A279" t="s">
        <v>601</v>
      </c>
      <c r="B279">
        <v>36</v>
      </c>
      <c r="C279" t="s">
        <v>382</v>
      </c>
      <c r="D279" t="s">
        <v>66</v>
      </c>
      <c r="E279" t="s">
        <v>97</v>
      </c>
      <c r="F279" t="s">
        <v>201</v>
      </c>
      <c r="G279" t="s">
        <v>202</v>
      </c>
      <c r="H279" t="s">
        <v>124</v>
      </c>
      <c r="I279" t="s">
        <v>166</v>
      </c>
      <c r="J279" t="s">
        <v>285</v>
      </c>
      <c r="K279" t="s">
        <v>290</v>
      </c>
      <c r="L279">
        <v>3.5</v>
      </c>
      <c r="M279">
        <v>8</v>
      </c>
      <c r="N279" t="s">
        <v>135</v>
      </c>
      <c r="O279" t="s">
        <v>75</v>
      </c>
      <c r="P279" t="s">
        <v>273</v>
      </c>
      <c r="Q279" t="s">
        <v>101</v>
      </c>
      <c r="R279" t="s">
        <v>111</v>
      </c>
      <c r="S279" t="s">
        <v>111</v>
      </c>
      <c r="T279" t="s">
        <v>274</v>
      </c>
      <c r="U279" t="s">
        <v>80</v>
      </c>
      <c r="V279" t="s">
        <v>274</v>
      </c>
      <c r="W279" t="s">
        <v>111</v>
      </c>
      <c r="X279" t="s">
        <v>560</v>
      </c>
      <c r="Y279">
        <v>7.5</v>
      </c>
      <c r="Z279">
        <v>7.5</v>
      </c>
      <c r="AA279" t="s">
        <v>266</v>
      </c>
      <c r="AB279" t="s">
        <v>275</v>
      </c>
      <c r="AC279">
        <v>8.5</v>
      </c>
      <c r="AD279">
        <v>4</v>
      </c>
      <c r="AE279">
        <v>2</v>
      </c>
      <c r="AF279">
        <v>4</v>
      </c>
      <c r="AG279">
        <v>4</v>
      </c>
      <c r="AH279">
        <v>3</v>
      </c>
      <c r="AI279" t="s">
        <v>111</v>
      </c>
      <c r="AJ279" t="s">
        <v>274</v>
      </c>
      <c r="AK279">
        <v>26</v>
      </c>
      <c r="AL279">
        <v>65</v>
      </c>
      <c r="AM279" t="s">
        <v>85</v>
      </c>
      <c r="AN279" t="s">
        <v>274</v>
      </c>
      <c r="AO279" t="s">
        <v>111</v>
      </c>
      <c r="AP279" t="s">
        <v>274</v>
      </c>
      <c r="AQ279">
        <v>7</v>
      </c>
      <c r="AR279">
        <v>6</v>
      </c>
      <c r="AS279">
        <v>7</v>
      </c>
      <c r="AT279" t="s">
        <v>266</v>
      </c>
      <c r="AU279">
        <v>38</v>
      </c>
      <c r="AV279" t="s">
        <v>274</v>
      </c>
      <c r="AW279" t="s">
        <v>274</v>
      </c>
      <c r="AX279">
        <v>3</v>
      </c>
      <c r="AY279" t="s">
        <v>274</v>
      </c>
      <c r="AZ279" t="s">
        <v>274</v>
      </c>
      <c r="BA279">
        <v>3</v>
      </c>
      <c r="BB279">
        <v>3</v>
      </c>
      <c r="BC279" t="s">
        <v>274</v>
      </c>
      <c r="BD279">
        <v>3</v>
      </c>
      <c r="BE279">
        <v>6</v>
      </c>
      <c r="BF279">
        <v>26</v>
      </c>
      <c r="BG279" t="s">
        <v>568</v>
      </c>
      <c r="BH279" t="s">
        <v>281</v>
      </c>
      <c r="BI279">
        <v>3.2</v>
      </c>
      <c r="BJ279">
        <v>3.8</v>
      </c>
      <c r="BK279">
        <v>7</v>
      </c>
      <c r="BL279">
        <v>4</v>
      </c>
    </row>
    <row r="280" spans="1:64" x14ac:dyDescent="0.25">
      <c r="A280" t="s">
        <v>602</v>
      </c>
      <c r="B280">
        <v>25</v>
      </c>
      <c r="C280" t="s">
        <v>154</v>
      </c>
      <c r="D280" t="s">
        <v>89</v>
      </c>
      <c r="E280" t="s">
        <v>90</v>
      </c>
      <c r="F280" t="s">
        <v>253</v>
      </c>
      <c r="G280" t="s">
        <v>254</v>
      </c>
      <c r="H280" t="s">
        <v>124</v>
      </c>
      <c r="I280" t="s">
        <v>166</v>
      </c>
      <c r="J280" t="s">
        <v>167</v>
      </c>
      <c r="K280" t="s">
        <v>73</v>
      </c>
      <c r="L280">
        <v>5.5</v>
      </c>
      <c r="M280">
        <v>6</v>
      </c>
      <c r="N280" t="s">
        <v>74</v>
      </c>
      <c r="O280" t="s">
        <v>93</v>
      </c>
      <c r="P280" t="s">
        <v>100</v>
      </c>
      <c r="Q280" t="s">
        <v>101</v>
      </c>
      <c r="R280" t="s">
        <v>102</v>
      </c>
      <c r="S280" t="s">
        <v>102</v>
      </c>
      <c r="T280" t="s">
        <v>111</v>
      </c>
      <c r="U280" t="s">
        <v>80</v>
      </c>
      <c r="V280" t="s">
        <v>80</v>
      </c>
      <c r="W280" t="s">
        <v>102</v>
      </c>
      <c r="X280" t="s">
        <v>355</v>
      </c>
      <c r="Y280">
        <v>9.5</v>
      </c>
      <c r="Z280">
        <v>7</v>
      </c>
      <c r="AA280" t="s">
        <v>126</v>
      </c>
      <c r="AB280" t="s">
        <v>103</v>
      </c>
      <c r="AC280">
        <v>8</v>
      </c>
      <c r="AD280">
        <v>7</v>
      </c>
      <c r="AE280">
        <v>3</v>
      </c>
      <c r="AF280">
        <v>6</v>
      </c>
      <c r="AG280">
        <v>5</v>
      </c>
      <c r="AH280">
        <v>5</v>
      </c>
      <c r="AI280" t="s">
        <v>80</v>
      </c>
      <c r="AJ280" t="s">
        <v>111</v>
      </c>
      <c r="AK280">
        <v>15</v>
      </c>
      <c r="AL280">
        <v>35</v>
      </c>
      <c r="AM280" t="s">
        <v>131</v>
      </c>
      <c r="AN280" t="s">
        <v>111</v>
      </c>
      <c r="AO280" t="s">
        <v>80</v>
      </c>
      <c r="AP280" t="s">
        <v>111</v>
      </c>
      <c r="AQ280">
        <v>5</v>
      </c>
      <c r="AR280">
        <v>4</v>
      </c>
      <c r="AS280">
        <v>5</v>
      </c>
      <c r="AT280" t="s">
        <v>131</v>
      </c>
      <c r="AU280">
        <v>20</v>
      </c>
      <c r="AV280" t="s">
        <v>80</v>
      </c>
      <c r="AW280" t="s">
        <v>80</v>
      </c>
      <c r="AX280">
        <v>5</v>
      </c>
      <c r="AY280" t="s">
        <v>102</v>
      </c>
      <c r="AZ280" t="s">
        <v>80</v>
      </c>
      <c r="BA280">
        <v>6</v>
      </c>
      <c r="BB280">
        <v>5</v>
      </c>
      <c r="BC280" t="s">
        <v>111</v>
      </c>
      <c r="BD280">
        <v>6</v>
      </c>
      <c r="BE280">
        <v>4</v>
      </c>
      <c r="BF280">
        <v>10</v>
      </c>
      <c r="BG280" t="s">
        <v>86</v>
      </c>
      <c r="BH280" t="s">
        <v>131</v>
      </c>
      <c r="BI280">
        <v>5.8</v>
      </c>
      <c r="BJ280">
        <v>6.4</v>
      </c>
      <c r="BK280">
        <v>4.5999999999999996</v>
      </c>
      <c r="BL280">
        <v>6.8</v>
      </c>
    </row>
    <row r="281" spans="1:64" x14ac:dyDescent="0.25">
      <c r="A281" t="s">
        <v>603</v>
      </c>
      <c r="B281">
        <v>17</v>
      </c>
      <c r="C281" t="s">
        <v>65</v>
      </c>
      <c r="D281" t="s">
        <v>66</v>
      </c>
      <c r="E281" t="s">
        <v>114</v>
      </c>
      <c r="F281" t="s">
        <v>228</v>
      </c>
      <c r="G281" t="s">
        <v>229</v>
      </c>
      <c r="H281" t="s">
        <v>70</v>
      </c>
      <c r="I281" t="s">
        <v>71</v>
      </c>
      <c r="J281" t="s">
        <v>72</v>
      </c>
      <c r="K281" t="s">
        <v>73</v>
      </c>
      <c r="L281">
        <v>8.5</v>
      </c>
      <c r="M281">
        <v>4</v>
      </c>
      <c r="N281" t="s">
        <v>74</v>
      </c>
      <c r="O281" t="s">
        <v>93</v>
      </c>
      <c r="P281" t="s">
        <v>76</v>
      </c>
      <c r="Q281" t="s">
        <v>77</v>
      </c>
      <c r="R281" t="s">
        <v>78</v>
      </c>
      <c r="S281" t="s">
        <v>79</v>
      </c>
      <c r="T281" t="s">
        <v>102</v>
      </c>
      <c r="U281" t="s">
        <v>80</v>
      </c>
      <c r="V281" t="s">
        <v>80</v>
      </c>
      <c r="W281" t="s">
        <v>78</v>
      </c>
      <c r="X281" t="s">
        <v>81</v>
      </c>
      <c r="Y281">
        <v>12.5</v>
      </c>
      <c r="Z281">
        <v>5</v>
      </c>
      <c r="AA281" t="s">
        <v>94</v>
      </c>
      <c r="AB281" t="s">
        <v>83</v>
      </c>
      <c r="AC281">
        <v>6</v>
      </c>
      <c r="AD281">
        <v>10</v>
      </c>
      <c r="AE281">
        <v>5</v>
      </c>
      <c r="AF281">
        <v>9</v>
      </c>
      <c r="AG281">
        <v>9</v>
      </c>
      <c r="AH281">
        <v>9</v>
      </c>
      <c r="AI281" t="s">
        <v>80</v>
      </c>
      <c r="AJ281" t="s">
        <v>80</v>
      </c>
      <c r="AK281">
        <v>6</v>
      </c>
      <c r="AL281">
        <v>13</v>
      </c>
      <c r="AM281" t="s">
        <v>84</v>
      </c>
      <c r="AN281" t="s">
        <v>80</v>
      </c>
      <c r="AO281" t="s">
        <v>80</v>
      </c>
      <c r="AP281" t="s">
        <v>80</v>
      </c>
      <c r="AQ281">
        <v>2</v>
      </c>
      <c r="AR281">
        <v>2</v>
      </c>
      <c r="AS281">
        <v>2</v>
      </c>
      <c r="AT281" t="s">
        <v>556</v>
      </c>
      <c r="AU281">
        <v>7</v>
      </c>
      <c r="AV281" t="s">
        <v>80</v>
      </c>
      <c r="AW281" t="s">
        <v>80</v>
      </c>
      <c r="AX281">
        <v>9</v>
      </c>
      <c r="AY281" t="s">
        <v>78</v>
      </c>
      <c r="AZ281" t="s">
        <v>80</v>
      </c>
      <c r="BA281">
        <v>10</v>
      </c>
      <c r="BB281">
        <v>9</v>
      </c>
      <c r="BC281" t="s">
        <v>80</v>
      </c>
      <c r="BD281">
        <v>10</v>
      </c>
      <c r="BE281">
        <v>1</v>
      </c>
      <c r="BF281">
        <v>1</v>
      </c>
      <c r="BG281" t="s">
        <v>136</v>
      </c>
      <c r="BH281" t="s">
        <v>87</v>
      </c>
      <c r="BI281">
        <v>9.6</v>
      </c>
      <c r="BJ281">
        <v>9.9</v>
      </c>
      <c r="BK281">
        <v>1.4</v>
      </c>
      <c r="BL281">
        <v>9.9</v>
      </c>
    </row>
    <row r="282" spans="1:64" x14ac:dyDescent="0.25">
      <c r="A282" t="s">
        <v>604</v>
      </c>
      <c r="B282">
        <v>44</v>
      </c>
      <c r="C282" t="s">
        <v>382</v>
      </c>
      <c r="D282" t="s">
        <v>89</v>
      </c>
      <c r="E282" t="s">
        <v>107</v>
      </c>
      <c r="F282" t="s">
        <v>190</v>
      </c>
      <c r="G282" t="s">
        <v>191</v>
      </c>
      <c r="H282" t="s">
        <v>279</v>
      </c>
      <c r="I282" t="s">
        <v>166</v>
      </c>
      <c r="J282" t="s">
        <v>242</v>
      </c>
      <c r="K282" t="s">
        <v>290</v>
      </c>
      <c r="L282">
        <v>2.5</v>
      </c>
      <c r="M282">
        <v>13</v>
      </c>
      <c r="N282" t="s">
        <v>272</v>
      </c>
      <c r="O282" t="s">
        <v>75</v>
      </c>
      <c r="P282" t="s">
        <v>273</v>
      </c>
      <c r="Q282" t="s">
        <v>295</v>
      </c>
      <c r="R282" t="s">
        <v>274</v>
      </c>
      <c r="S282" t="s">
        <v>274</v>
      </c>
      <c r="T282" t="s">
        <v>274</v>
      </c>
      <c r="U282" t="s">
        <v>286</v>
      </c>
      <c r="V282" t="s">
        <v>274</v>
      </c>
      <c r="W282" t="s">
        <v>274</v>
      </c>
      <c r="X282" t="s">
        <v>358</v>
      </c>
      <c r="Y282">
        <v>6.5</v>
      </c>
      <c r="Z282">
        <v>8</v>
      </c>
      <c r="AA282" t="s">
        <v>266</v>
      </c>
      <c r="AB282" t="s">
        <v>78</v>
      </c>
      <c r="AC282">
        <v>9.5</v>
      </c>
      <c r="AD282">
        <v>3</v>
      </c>
      <c r="AE282">
        <v>2</v>
      </c>
      <c r="AF282">
        <v>3</v>
      </c>
      <c r="AG282">
        <v>2</v>
      </c>
      <c r="AH282">
        <v>2</v>
      </c>
      <c r="AI282" t="s">
        <v>274</v>
      </c>
      <c r="AJ282" t="s">
        <v>274</v>
      </c>
      <c r="AK282">
        <v>38</v>
      </c>
      <c r="AL282">
        <v>95</v>
      </c>
      <c r="AM282" t="s">
        <v>85</v>
      </c>
      <c r="AN282" t="s">
        <v>274</v>
      </c>
      <c r="AO282" t="s">
        <v>274</v>
      </c>
      <c r="AP282" t="s">
        <v>274</v>
      </c>
      <c r="AQ282">
        <v>9</v>
      </c>
      <c r="AR282">
        <v>8</v>
      </c>
      <c r="AS282">
        <v>9</v>
      </c>
      <c r="AT282" t="s">
        <v>266</v>
      </c>
      <c r="AU282">
        <v>55</v>
      </c>
      <c r="AV282" t="s">
        <v>274</v>
      </c>
      <c r="AW282" t="s">
        <v>274</v>
      </c>
      <c r="AX282">
        <v>2</v>
      </c>
      <c r="AY282" t="s">
        <v>83</v>
      </c>
      <c r="AZ282" t="s">
        <v>274</v>
      </c>
      <c r="BA282">
        <v>2</v>
      </c>
      <c r="BB282">
        <v>2</v>
      </c>
      <c r="BC282" t="s">
        <v>274</v>
      </c>
      <c r="BD282">
        <v>2</v>
      </c>
      <c r="BE282">
        <v>8</v>
      </c>
      <c r="BF282">
        <v>48</v>
      </c>
      <c r="BG282" t="s">
        <v>86</v>
      </c>
      <c r="BH282" t="s">
        <v>281</v>
      </c>
      <c r="BI282">
        <v>1.8</v>
      </c>
      <c r="BJ282">
        <v>2.4</v>
      </c>
      <c r="BK282">
        <v>8.8000000000000007</v>
      </c>
      <c r="BL282">
        <v>2.2000000000000002</v>
      </c>
    </row>
    <row r="283" spans="1:64" x14ac:dyDescent="0.25">
      <c r="A283" t="s">
        <v>605</v>
      </c>
      <c r="B283">
        <v>32</v>
      </c>
      <c r="C283" t="s">
        <v>278</v>
      </c>
      <c r="D283" t="s">
        <v>66</v>
      </c>
      <c r="E283" t="s">
        <v>67</v>
      </c>
      <c r="F283" t="s">
        <v>187</v>
      </c>
      <c r="G283" t="s">
        <v>188</v>
      </c>
      <c r="H283" t="s">
        <v>124</v>
      </c>
      <c r="I283" t="s">
        <v>166</v>
      </c>
      <c r="J283" t="s">
        <v>179</v>
      </c>
      <c r="K283" t="s">
        <v>290</v>
      </c>
      <c r="L283">
        <v>5</v>
      </c>
      <c r="M283">
        <v>7</v>
      </c>
      <c r="N283" t="s">
        <v>135</v>
      </c>
      <c r="O283" t="s">
        <v>74</v>
      </c>
      <c r="P283" t="s">
        <v>100</v>
      </c>
      <c r="Q283" t="s">
        <v>101</v>
      </c>
      <c r="R283" t="s">
        <v>102</v>
      </c>
      <c r="S283" t="s">
        <v>102</v>
      </c>
      <c r="T283" t="s">
        <v>111</v>
      </c>
      <c r="U283" t="s">
        <v>80</v>
      </c>
      <c r="V283" t="s">
        <v>80</v>
      </c>
      <c r="W283" t="s">
        <v>102</v>
      </c>
      <c r="X283" t="s">
        <v>606</v>
      </c>
      <c r="Y283">
        <v>9</v>
      </c>
      <c r="Z283">
        <v>7</v>
      </c>
      <c r="AA283" t="s">
        <v>126</v>
      </c>
      <c r="AB283" t="s">
        <v>103</v>
      </c>
      <c r="AC283">
        <v>7.5</v>
      </c>
      <c r="AD283">
        <v>6</v>
      </c>
      <c r="AE283">
        <v>3</v>
      </c>
      <c r="AF283">
        <v>6</v>
      </c>
      <c r="AG283">
        <v>5</v>
      </c>
      <c r="AH283">
        <v>5</v>
      </c>
      <c r="AI283" t="s">
        <v>80</v>
      </c>
      <c r="AJ283" t="s">
        <v>111</v>
      </c>
      <c r="AK283">
        <v>16</v>
      </c>
      <c r="AL283">
        <v>38</v>
      </c>
      <c r="AM283" t="s">
        <v>131</v>
      </c>
      <c r="AN283" t="s">
        <v>111</v>
      </c>
      <c r="AO283" t="s">
        <v>80</v>
      </c>
      <c r="AP283" t="s">
        <v>111</v>
      </c>
      <c r="AQ283">
        <v>5</v>
      </c>
      <c r="AR283">
        <v>4</v>
      </c>
      <c r="AS283">
        <v>5</v>
      </c>
      <c r="AT283" t="s">
        <v>131</v>
      </c>
      <c r="AU283">
        <v>20</v>
      </c>
      <c r="AV283" t="s">
        <v>80</v>
      </c>
      <c r="AW283" t="s">
        <v>80</v>
      </c>
      <c r="AX283">
        <v>5</v>
      </c>
      <c r="AY283" t="s">
        <v>102</v>
      </c>
      <c r="AZ283" t="s">
        <v>80</v>
      </c>
      <c r="BA283">
        <v>6</v>
      </c>
      <c r="BB283">
        <v>5</v>
      </c>
      <c r="BC283" t="s">
        <v>111</v>
      </c>
      <c r="BD283">
        <v>6</v>
      </c>
      <c r="BE283">
        <v>4</v>
      </c>
      <c r="BF283">
        <v>10</v>
      </c>
      <c r="BG283" t="s">
        <v>117</v>
      </c>
      <c r="BH283" t="s">
        <v>131</v>
      </c>
      <c r="BI283">
        <v>5.8</v>
      </c>
      <c r="BJ283">
        <v>6.4</v>
      </c>
      <c r="BK283">
        <v>4.5999999999999996</v>
      </c>
      <c r="BL283">
        <v>6.8</v>
      </c>
    </row>
    <row r="284" spans="1:64" x14ac:dyDescent="0.25">
      <c r="A284" t="s">
        <v>607</v>
      </c>
      <c r="B284">
        <v>23</v>
      </c>
      <c r="C284" t="s">
        <v>106</v>
      </c>
      <c r="D284" t="s">
        <v>89</v>
      </c>
      <c r="E284" t="s">
        <v>107</v>
      </c>
      <c r="F284" t="s">
        <v>108</v>
      </c>
      <c r="G284" t="s">
        <v>109</v>
      </c>
      <c r="H284" t="s">
        <v>124</v>
      </c>
      <c r="I284" t="s">
        <v>71</v>
      </c>
      <c r="J284" t="s">
        <v>72</v>
      </c>
      <c r="K284" t="s">
        <v>73</v>
      </c>
      <c r="L284">
        <v>7</v>
      </c>
      <c r="M284">
        <v>5</v>
      </c>
      <c r="N284" t="s">
        <v>75</v>
      </c>
      <c r="O284" t="s">
        <v>110</v>
      </c>
      <c r="P284" t="s">
        <v>100</v>
      </c>
      <c r="Q284" t="s">
        <v>101</v>
      </c>
      <c r="R284" t="s">
        <v>78</v>
      </c>
      <c r="S284" t="s">
        <v>102</v>
      </c>
      <c r="T284" t="s">
        <v>102</v>
      </c>
      <c r="U284" t="s">
        <v>80</v>
      </c>
      <c r="V284" t="s">
        <v>80</v>
      </c>
      <c r="W284" t="s">
        <v>78</v>
      </c>
      <c r="X284" t="s">
        <v>608</v>
      </c>
      <c r="Y284">
        <v>11</v>
      </c>
      <c r="Z284">
        <v>6</v>
      </c>
      <c r="AA284" t="s">
        <v>82</v>
      </c>
      <c r="AB284" t="s">
        <v>103</v>
      </c>
      <c r="AC284">
        <v>6</v>
      </c>
      <c r="AD284">
        <v>8</v>
      </c>
      <c r="AE284">
        <v>4</v>
      </c>
      <c r="AF284">
        <v>7</v>
      </c>
      <c r="AG284">
        <v>5</v>
      </c>
      <c r="AH284">
        <v>6</v>
      </c>
      <c r="AI284" t="s">
        <v>80</v>
      </c>
      <c r="AJ284" t="s">
        <v>80</v>
      </c>
      <c r="AK284">
        <v>12</v>
      </c>
      <c r="AL284">
        <v>25</v>
      </c>
      <c r="AM284" t="s">
        <v>84</v>
      </c>
      <c r="AN284" t="s">
        <v>80</v>
      </c>
      <c r="AO284" t="s">
        <v>80</v>
      </c>
      <c r="AP284" t="s">
        <v>80</v>
      </c>
      <c r="AQ284">
        <v>4</v>
      </c>
      <c r="AR284">
        <v>4</v>
      </c>
      <c r="AS284">
        <v>4</v>
      </c>
      <c r="AT284" t="s">
        <v>85</v>
      </c>
      <c r="AU284">
        <v>14</v>
      </c>
      <c r="AV284" t="s">
        <v>80</v>
      </c>
      <c r="AW284" t="s">
        <v>80</v>
      </c>
      <c r="AX284">
        <v>7</v>
      </c>
      <c r="AY284" t="s">
        <v>78</v>
      </c>
      <c r="AZ284" t="s">
        <v>80</v>
      </c>
      <c r="BA284">
        <v>8</v>
      </c>
      <c r="BB284">
        <v>7</v>
      </c>
      <c r="BC284" t="s">
        <v>80</v>
      </c>
      <c r="BD284">
        <v>8</v>
      </c>
      <c r="BE284">
        <v>3</v>
      </c>
      <c r="BF284">
        <v>8</v>
      </c>
      <c r="BG284" t="s">
        <v>86</v>
      </c>
      <c r="BH284" t="s">
        <v>104</v>
      </c>
      <c r="BI284">
        <v>7.5</v>
      </c>
      <c r="BJ284">
        <v>8</v>
      </c>
      <c r="BK284">
        <v>3.2</v>
      </c>
      <c r="BL284">
        <v>8.5</v>
      </c>
    </row>
    <row r="285" spans="1:64" x14ac:dyDescent="0.25">
      <c r="A285" t="s">
        <v>609</v>
      </c>
      <c r="B285">
        <v>18</v>
      </c>
      <c r="C285" t="s">
        <v>106</v>
      </c>
      <c r="D285" t="s">
        <v>66</v>
      </c>
      <c r="E285" t="s">
        <v>90</v>
      </c>
      <c r="F285" t="s">
        <v>222</v>
      </c>
      <c r="G285" t="s">
        <v>223</v>
      </c>
      <c r="H285" t="s">
        <v>70</v>
      </c>
      <c r="I285" t="s">
        <v>71</v>
      </c>
      <c r="J285" t="s">
        <v>72</v>
      </c>
      <c r="K285" t="s">
        <v>73</v>
      </c>
      <c r="L285">
        <v>7.5</v>
      </c>
      <c r="M285">
        <v>4</v>
      </c>
      <c r="N285" t="s">
        <v>93</v>
      </c>
      <c r="O285" t="s">
        <v>74</v>
      </c>
      <c r="P285" t="s">
        <v>76</v>
      </c>
      <c r="Q285" t="s">
        <v>77</v>
      </c>
      <c r="R285" t="s">
        <v>78</v>
      </c>
      <c r="S285" t="s">
        <v>79</v>
      </c>
      <c r="T285" t="s">
        <v>102</v>
      </c>
      <c r="U285" t="s">
        <v>80</v>
      </c>
      <c r="V285" t="s">
        <v>80</v>
      </c>
      <c r="W285" t="s">
        <v>78</v>
      </c>
      <c r="X285" t="s">
        <v>570</v>
      </c>
      <c r="Y285">
        <v>11.5</v>
      </c>
      <c r="Z285">
        <v>5.5</v>
      </c>
      <c r="AA285" t="s">
        <v>82</v>
      </c>
      <c r="AB285" t="s">
        <v>83</v>
      </c>
      <c r="AC285">
        <v>6</v>
      </c>
      <c r="AD285">
        <v>9</v>
      </c>
      <c r="AE285">
        <v>5</v>
      </c>
      <c r="AF285">
        <v>8</v>
      </c>
      <c r="AG285">
        <v>8</v>
      </c>
      <c r="AH285">
        <v>8</v>
      </c>
      <c r="AI285" t="s">
        <v>80</v>
      </c>
      <c r="AJ285" t="s">
        <v>80</v>
      </c>
      <c r="AK285">
        <v>8</v>
      </c>
      <c r="AL285">
        <v>17</v>
      </c>
      <c r="AM285" t="s">
        <v>84</v>
      </c>
      <c r="AN285" t="s">
        <v>80</v>
      </c>
      <c r="AO285" t="s">
        <v>80</v>
      </c>
      <c r="AP285" t="s">
        <v>80</v>
      </c>
      <c r="AQ285">
        <v>3</v>
      </c>
      <c r="AR285">
        <v>3</v>
      </c>
      <c r="AS285">
        <v>3</v>
      </c>
      <c r="AT285" t="s">
        <v>85</v>
      </c>
      <c r="AU285">
        <v>9</v>
      </c>
      <c r="AV285" t="s">
        <v>80</v>
      </c>
      <c r="AW285" t="s">
        <v>80</v>
      </c>
      <c r="AX285">
        <v>8</v>
      </c>
      <c r="AY285" t="s">
        <v>78</v>
      </c>
      <c r="AZ285" t="s">
        <v>80</v>
      </c>
      <c r="BA285">
        <v>9</v>
      </c>
      <c r="BB285">
        <v>8</v>
      </c>
      <c r="BC285" t="s">
        <v>80</v>
      </c>
      <c r="BD285">
        <v>9</v>
      </c>
      <c r="BE285">
        <v>2</v>
      </c>
      <c r="BF285">
        <v>3</v>
      </c>
      <c r="BG285" t="s">
        <v>152</v>
      </c>
      <c r="BH285" t="s">
        <v>87</v>
      </c>
      <c r="BI285">
        <v>9</v>
      </c>
      <c r="BJ285">
        <v>9.3000000000000007</v>
      </c>
      <c r="BK285">
        <v>2.2000000000000002</v>
      </c>
      <c r="BL285">
        <v>9.6</v>
      </c>
    </row>
    <row r="286" spans="1:64" x14ac:dyDescent="0.25">
      <c r="A286" t="s">
        <v>610</v>
      </c>
      <c r="B286">
        <v>41</v>
      </c>
      <c r="C286" t="s">
        <v>382</v>
      </c>
      <c r="D286" t="s">
        <v>66</v>
      </c>
      <c r="E286" t="s">
        <v>97</v>
      </c>
      <c r="F286" t="s">
        <v>237</v>
      </c>
      <c r="G286" t="s">
        <v>238</v>
      </c>
      <c r="H286" t="s">
        <v>124</v>
      </c>
      <c r="I286" t="s">
        <v>166</v>
      </c>
      <c r="J286" t="s">
        <v>72</v>
      </c>
      <c r="K286" t="s">
        <v>290</v>
      </c>
      <c r="L286">
        <v>3.5</v>
      </c>
      <c r="M286">
        <v>9</v>
      </c>
      <c r="N286" t="s">
        <v>135</v>
      </c>
      <c r="O286" t="s">
        <v>75</v>
      </c>
      <c r="P286" t="s">
        <v>273</v>
      </c>
      <c r="Q286" t="s">
        <v>101</v>
      </c>
      <c r="R286" t="s">
        <v>111</v>
      </c>
      <c r="S286" t="s">
        <v>111</v>
      </c>
      <c r="T286" t="s">
        <v>274</v>
      </c>
      <c r="U286" t="s">
        <v>80</v>
      </c>
      <c r="V286" t="s">
        <v>274</v>
      </c>
      <c r="W286" t="s">
        <v>111</v>
      </c>
      <c r="X286" t="s">
        <v>300</v>
      </c>
      <c r="Y286">
        <v>7.5</v>
      </c>
      <c r="Z286">
        <v>7.5</v>
      </c>
      <c r="AA286" t="s">
        <v>266</v>
      </c>
      <c r="AB286" t="s">
        <v>275</v>
      </c>
      <c r="AC286">
        <v>8.5</v>
      </c>
      <c r="AD286">
        <v>4</v>
      </c>
      <c r="AE286">
        <v>2</v>
      </c>
      <c r="AF286">
        <v>4</v>
      </c>
      <c r="AG286">
        <v>4</v>
      </c>
      <c r="AH286">
        <v>3</v>
      </c>
      <c r="AI286" t="s">
        <v>111</v>
      </c>
      <c r="AJ286" t="s">
        <v>274</v>
      </c>
      <c r="AK286">
        <v>26</v>
      </c>
      <c r="AL286">
        <v>65</v>
      </c>
      <c r="AM286" t="s">
        <v>85</v>
      </c>
      <c r="AN286" t="s">
        <v>274</v>
      </c>
      <c r="AO286" t="s">
        <v>111</v>
      </c>
      <c r="AP286" t="s">
        <v>274</v>
      </c>
      <c r="AQ286">
        <v>7</v>
      </c>
      <c r="AR286">
        <v>6</v>
      </c>
      <c r="AS286">
        <v>7</v>
      </c>
      <c r="AT286" t="s">
        <v>266</v>
      </c>
      <c r="AU286">
        <v>38</v>
      </c>
      <c r="AV286" t="s">
        <v>274</v>
      </c>
      <c r="AW286" t="s">
        <v>274</v>
      </c>
      <c r="AX286">
        <v>3</v>
      </c>
      <c r="AY286" t="s">
        <v>274</v>
      </c>
      <c r="AZ286" t="s">
        <v>274</v>
      </c>
      <c r="BA286">
        <v>3</v>
      </c>
      <c r="BB286">
        <v>3</v>
      </c>
      <c r="BC286" t="s">
        <v>274</v>
      </c>
      <c r="BD286">
        <v>3</v>
      </c>
      <c r="BE286">
        <v>6</v>
      </c>
      <c r="BF286">
        <v>28</v>
      </c>
      <c r="BG286" t="s">
        <v>568</v>
      </c>
      <c r="BH286" t="s">
        <v>281</v>
      </c>
      <c r="BI286">
        <v>3.2</v>
      </c>
      <c r="BJ286">
        <v>3.8</v>
      </c>
      <c r="BK286">
        <v>7</v>
      </c>
      <c r="BL286">
        <v>4</v>
      </c>
    </row>
    <row r="287" spans="1:64" x14ac:dyDescent="0.25">
      <c r="A287" t="s">
        <v>611</v>
      </c>
      <c r="B287">
        <v>26</v>
      </c>
      <c r="C287" t="s">
        <v>154</v>
      </c>
      <c r="D287" t="s">
        <v>89</v>
      </c>
      <c r="E287" t="s">
        <v>114</v>
      </c>
      <c r="F287" t="s">
        <v>244</v>
      </c>
      <c r="G287" t="s">
        <v>245</v>
      </c>
      <c r="H287" t="s">
        <v>124</v>
      </c>
      <c r="I287" t="s">
        <v>166</v>
      </c>
      <c r="J287" t="s">
        <v>264</v>
      </c>
      <c r="K287" t="s">
        <v>73</v>
      </c>
      <c r="L287">
        <v>5</v>
      </c>
      <c r="M287">
        <v>6</v>
      </c>
      <c r="N287" t="s">
        <v>74</v>
      </c>
      <c r="O287" t="s">
        <v>75</v>
      </c>
      <c r="P287" t="s">
        <v>100</v>
      </c>
      <c r="Q287" t="s">
        <v>101</v>
      </c>
      <c r="R287" t="s">
        <v>102</v>
      </c>
      <c r="S287" t="s">
        <v>111</v>
      </c>
      <c r="T287" t="s">
        <v>111</v>
      </c>
      <c r="U287" t="s">
        <v>80</v>
      </c>
      <c r="V287" t="s">
        <v>111</v>
      </c>
      <c r="W287" t="s">
        <v>102</v>
      </c>
      <c r="X287" t="s">
        <v>361</v>
      </c>
      <c r="Y287">
        <v>9</v>
      </c>
      <c r="Z287">
        <v>7</v>
      </c>
      <c r="AA287" t="s">
        <v>126</v>
      </c>
      <c r="AB287" t="s">
        <v>103</v>
      </c>
      <c r="AC287">
        <v>8</v>
      </c>
      <c r="AD287">
        <v>6</v>
      </c>
      <c r="AE287">
        <v>3</v>
      </c>
      <c r="AF287">
        <v>5</v>
      </c>
      <c r="AG287">
        <v>5</v>
      </c>
      <c r="AH287">
        <v>5</v>
      </c>
      <c r="AI287" t="s">
        <v>80</v>
      </c>
      <c r="AJ287" t="s">
        <v>111</v>
      </c>
      <c r="AK287">
        <v>18</v>
      </c>
      <c r="AL287">
        <v>44</v>
      </c>
      <c r="AM287" t="s">
        <v>131</v>
      </c>
      <c r="AN287" t="s">
        <v>111</v>
      </c>
      <c r="AO287" t="s">
        <v>111</v>
      </c>
      <c r="AP287" t="s">
        <v>111</v>
      </c>
      <c r="AQ287">
        <v>5</v>
      </c>
      <c r="AR287">
        <v>5</v>
      </c>
      <c r="AS287">
        <v>5</v>
      </c>
      <c r="AT287" t="s">
        <v>131</v>
      </c>
      <c r="AU287">
        <v>22</v>
      </c>
      <c r="AV287" t="s">
        <v>80</v>
      </c>
      <c r="AW287" t="s">
        <v>111</v>
      </c>
      <c r="AX287">
        <v>5</v>
      </c>
      <c r="AY287" t="s">
        <v>102</v>
      </c>
      <c r="AZ287" t="s">
        <v>111</v>
      </c>
      <c r="BA287">
        <v>5</v>
      </c>
      <c r="BB287">
        <v>5</v>
      </c>
      <c r="BC287" t="s">
        <v>111</v>
      </c>
      <c r="BD287">
        <v>5</v>
      </c>
      <c r="BE287">
        <v>4</v>
      </c>
      <c r="BF287">
        <v>14</v>
      </c>
      <c r="BG287" t="s">
        <v>86</v>
      </c>
      <c r="BH287" t="s">
        <v>171</v>
      </c>
      <c r="BI287">
        <v>5.5</v>
      </c>
      <c r="BJ287">
        <v>6</v>
      </c>
      <c r="BK287">
        <v>4.8</v>
      </c>
      <c r="BL287">
        <v>6.5</v>
      </c>
    </row>
    <row r="288" spans="1:64" x14ac:dyDescent="0.25">
      <c r="A288" t="s">
        <v>612</v>
      </c>
      <c r="B288">
        <v>34</v>
      </c>
      <c r="C288" t="s">
        <v>278</v>
      </c>
      <c r="D288" t="s">
        <v>540</v>
      </c>
      <c r="E288" t="s">
        <v>90</v>
      </c>
      <c r="F288" t="s">
        <v>157</v>
      </c>
      <c r="G288" t="s">
        <v>158</v>
      </c>
      <c r="H288" t="s">
        <v>279</v>
      </c>
      <c r="I288" t="s">
        <v>166</v>
      </c>
      <c r="J288" t="s">
        <v>193</v>
      </c>
      <c r="K288" t="s">
        <v>143</v>
      </c>
      <c r="L288">
        <v>5.5</v>
      </c>
      <c r="M288">
        <v>8</v>
      </c>
      <c r="N288" t="s">
        <v>74</v>
      </c>
      <c r="O288" t="s">
        <v>93</v>
      </c>
      <c r="P288" t="s">
        <v>100</v>
      </c>
      <c r="Q288" t="s">
        <v>101</v>
      </c>
      <c r="R288" t="s">
        <v>102</v>
      </c>
      <c r="S288" t="s">
        <v>102</v>
      </c>
      <c r="T288" t="s">
        <v>111</v>
      </c>
      <c r="U288" t="s">
        <v>80</v>
      </c>
      <c r="V288" t="s">
        <v>111</v>
      </c>
      <c r="W288" t="s">
        <v>102</v>
      </c>
      <c r="X288" t="s">
        <v>409</v>
      </c>
      <c r="Y288">
        <v>9.5</v>
      </c>
      <c r="Z288">
        <v>7</v>
      </c>
      <c r="AA288" t="s">
        <v>126</v>
      </c>
      <c r="AB288" t="s">
        <v>103</v>
      </c>
      <c r="AC288">
        <v>7.5</v>
      </c>
      <c r="AD288">
        <v>7</v>
      </c>
      <c r="AE288">
        <v>3</v>
      </c>
      <c r="AF288">
        <v>6</v>
      </c>
      <c r="AG288">
        <v>6</v>
      </c>
      <c r="AH288">
        <v>5</v>
      </c>
      <c r="AI288" t="s">
        <v>80</v>
      </c>
      <c r="AJ288" t="s">
        <v>111</v>
      </c>
      <c r="AK288">
        <v>15</v>
      </c>
      <c r="AL288">
        <v>35</v>
      </c>
      <c r="AM288" t="s">
        <v>131</v>
      </c>
      <c r="AN288" t="s">
        <v>111</v>
      </c>
      <c r="AO288" t="s">
        <v>80</v>
      </c>
      <c r="AP288" t="s">
        <v>111</v>
      </c>
      <c r="AQ288">
        <v>5</v>
      </c>
      <c r="AR288">
        <v>4</v>
      </c>
      <c r="AS288">
        <v>5</v>
      </c>
      <c r="AT288" t="s">
        <v>131</v>
      </c>
      <c r="AU288">
        <v>20</v>
      </c>
      <c r="AV288" t="s">
        <v>80</v>
      </c>
      <c r="AW288" t="s">
        <v>80</v>
      </c>
      <c r="AX288">
        <v>5</v>
      </c>
      <c r="AY288" t="s">
        <v>102</v>
      </c>
      <c r="AZ288" t="s">
        <v>80</v>
      </c>
      <c r="BA288">
        <v>6</v>
      </c>
      <c r="BB288">
        <v>5</v>
      </c>
      <c r="BC288" t="s">
        <v>111</v>
      </c>
      <c r="BD288">
        <v>6</v>
      </c>
      <c r="BE288">
        <v>4</v>
      </c>
      <c r="BF288">
        <v>12</v>
      </c>
      <c r="BG288" t="s">
        <v>551</v>
      </c>
      <c r="BH288" t="s">
        <v>131</v>
      </c>
      <c r="BI288">
        <v>5.8</v>
      </c>
      <c r="BJ288">
        <v>6.4</v>
      </c>
      <c r="BK288">
        <v>4.5999999999999996</v>
      </c>
      <c r="BL288">
        <v>6.8</v>
      </c>
    </row>
    <row r="289" spans="1:64" x14ac:dyDescent="0.25">
      <c r="A289" t="s">
        <v>613</v>
      </c>
      <c r="B289">
        <v>15</v>
      </c>
      <c r="C289" t="s">
        <v>65</v>
      </c>
      <c r="D289" t="s">
        <v>89</v>
      </c>
      <c r="E289" t="s">
        <v>97</v>
      </c>
      <c r="F289" t="s">
        <v>98</v>
      </c>
      <c r="G289" t="s">
        <v>99</v>
      </c>
      <c r="H289" t="s">
        <v>70</v>
      </c>
      <c r="I289" t="s">
        <v>71</v>
      </c>
      <c r="J289" t="s">
        <v>72</v>
      </c>
      <c r="K289" t="s">
        <v>73</v>
      </c>
      <c r="L289">
        <v>7</v>
      </c>
      <c r="M289">
        <v>3</v>
      </c>
      <c r="N289" t="s">
        <v>75</v>
      </c>
      <c r="O289" t="s">
        <v>93</v>
      </c>
      <c r="P289" t="s">
        <v>76</v>
      </c>
      <c r="Q289" t="s">
        <v>77</v>
      </c>
      <c r="R289" t="s">
        <v>78</v>
      </c>
      <c r="S289" t="s">
        <v>79</v>
      </c>
      <c r="T289" t="s">
        <v>102</v>
      </c>
      <c r="U289" t="s">
        <v>80</v>
      </c>
      <c r="V289" t="s">
        <v>80</v>
      </c>
      <c r="W289" t="s">
        <v>78</v>
      </c>
      <c r="X289" t="s">
        <v>547</v>
      </c>
      <c r="Y289">
        <v>11</v>
      </c>
      <c r="Z289">
        <v>5.5</v>
      </c>
      <c r="AA289" t="s">
        <v>82</v>
      </c>
      <c r="AB289" t="s">
        <v>83</v>
      </c>
      <c r="AC289">
        <v>6</v>
      </c>
      <c r="AD289">
        <v>9</v>
      </c>
      <c r="AE289">
        <v>5</v>
      </c>
      <c r="AF289">
        <v>8</v>
      </c>
      <c r="AG289">
        <v>7</v>
      </c>
      <c r="AH289">
        <v>7</v>
      </c>
      <c r="AI289" t="s">
        <v>80</v>
      </c>
      <c r="AJ289" t="s">
        <v>80</v>
      </c>
      <c r="AK289">
        <v>9</v>
      </c>
      <c r="AL289">
        <v>18</v>
      </c>
      <c r="AM289" t="s">
        <v>84</v>
      </c>
      <c r="AN289" t="s">
        <v>80</v>
      </c>
      <c r="AO289" t="s">
        <v>80</v>
      </c>
      <c r="AP289" t="s">
        <v>80</v>
      </c>
      <c r="AQ289">
        <v>3</v>
      </c>
      <c r="AR289">
        <v>3</v>
      </c>
      <c r="AS289">
        <v>3</v>
      </c>
      <c r="AT289" t="s">
        <v>85</v>
      </c>
      <c r="AU289">
        <v>10</v>
      </c>
      <c r="AV289" t="s">
        <v>80</v>
      </c>
      <c r="AW289" t="s">
        <v>80</v>
      </c>
      <c r="AX289">
        <v>8</v>
      </c>
      <c r="AY289" t="s">
        <v>78</v>
      </c>
      <c r="AZ289" t="s">
        <v>80</v>
      </c>
      <c r="BA289">
        <v>9</v>
      </c>
      <c r="BB289">
        <v>8</v>
      </c>
      <c r="BC289" t="s">
        <v>80</v>
      </c>
      <c r="BD289">
        <v>9</v>
      </c>
      <c r="BE289">
        <v>2</v>
      </c>
      <c r="BF289">
        <v>4</v>
      </c>
      <c r="BG289" t="s">
        <v>86</v>
      </c>
      <c r="BH289" t="s">
        <v>87</v>
      </c>
      <c r="BI289">
        <v>9</v>
      </c>
      <c r="BJ289">
        <v>9.3000000000000007</v>
      </c>
      <c r="BK289">
        <v>2.2000000000000002</v>
      </c>
      <c r="BL289">
        <v>9.6</v>
      </c>
    </row>
    <row r="290" spans="1:64" x14ac:dyDescent="0.25">
      <c r="A290" t="s">
        <v>614</v>
      </c>
      <c r="B290">
        <v>28</v>
      </c>
      <c r="C290" t="s">
        <v>278</v>
      </c>
      <c r="D290" t="s">
        <v>66</v>
      </c>
      <c r="E290" t="s">
        <v>107</v>
      </c>
      <c r="F290" t="s">
        <v>141</v>
      </c>
      <c r="G290" t="s">
        <v>142</v>
      </c>
      <c r="H290" t="s">
        <v>279</v>
      </c>
      <c r="I290" t="s">
        <v>166</v>
      </c>
      <c r="J290" t="s">
        <v>167</v>
      </c>
      <c r="K290" t="s">
        <v>73</v>
      </c>
      <c r="L290">
        <v>5.5</v>
      </c>
      <c r="M290">
        <v>8</v>
      </c>
      <c r="N290" t="s">
        <v>74</v>
      </c>
      <c r="O290" t="s">
        <v>272</v>
      </c>
      <c r="P290" t="s">
        <v>100</v>
      </c>
      <c r="Q290" t="s">
        <v>101</v>
      </c>
      <c r="R290" t="s">
        <v>102</v>
      </c>
      <c r="S290" t="s">
        <v>111</v>
      </c>
      <c r="T290" t="s">
        <v>111</v>
      </c>
      <c r="U290" t="s">
        <v>80</v>
      </c>
      <c r="V290" t="s">
        <v>111</v>
      </c>
      <c r="W290" t="s">
        <v>102</v>
      </c>
      <c r="X290" t="s">
        <v>338</v>
      </c>
      <c r="Y290">
        <v>9.5</v>
      </c>
      <c r="Z290">
        <v>7</v>
      </c>
      <c r="AA290" t="s">
        <v>126</v>
      </c>
      <c r="AB290" t="s">
        <v>103</v>
      </c>
      <c r="AC290">
        <v>8.5</v>
      </c>
      <c r="AD290">
        <v>6</v>
      </c>
      <c r="AE290">
        <v>3</v>
      </c>
      <c r="AF290">
        <v>5</v>
      </c>
      <c r="AG290">
        <v>5</v>
      </c>
      <c r="AH290">
        <v>5</v>
      </c>
      <c r="AI290" t="s">
        <v>80</v>
      </c>
      <c r="AJ290" t="s">
        <v>111</v>
      </c>
      <c r="AK290">
        <v>16</v>
      </c>
      <c r="AL290">
        <v>38</v>
      </c>
      <c r="AM290" t="s">
        <v>131</v>
      </c>
      <c r="AN290" t="s">
        <v>111</v>
      </c>
      <c r="AO290" t="s">
        <v>111</v>
      </c>
      <c r="AP290" t="s">
        <v>111</v>
      </c>
      <c r="AQ290">
        <v>5</v>
      </c>
      <c r="AR290">
        <v>5</v>
      </c>
      <c r="AS290">
        <v>5</v>
      </c>
      <c r="AT290" t="s">
        <v>131</v>
      </c>
      <c r="AU290">
        <v>22</v>
      </c>
      <c r="AV290" t="s">
        <v>80</v>
      </c>
      <c r="AW290" t="s">
        <v>111</v>
      </c>
      <c r="AX290">
        <v>5</v>
      </c>
      <c r="AY290" t="s">
        <v>102</v>
      </c>
      <c r="AZ290" t="s">
        <v>111</v>
      </c>
      <c r="BA290">
        <v>5</v>
      </c>
      <c r="BB290">
        <v>5</v>
      </c>
      <c r="BC290" t="s">
        <v>111</v>
      </c>
      <c r="BD290">
        <v>5</v>
      </c>
      <c r="BE290">
        <v>4</v>
      </c>
      <c r="BF290">
        <v>12</v>
      </c>
      <c r="BG290" t="s">
        <v>117</v>
      </c>
      <c r="BH290" t="s">
        <v>171</v>
      </c>
      <c r="BI290">
        <v>5.5</v>
      </c>
      <c r="BJ290">
        <v>6</v>
      </c>
      <c r="BK290">
        <v>4.8</v>
      </c>
      <c r="BL290">
        <v>6.5</v>
      </c>
    </row>
    <row r="291" spans="1:64" x14ac:dyDescent="0.25">
      <c r="A291" t="s">
        <v>615</v>
      </c>
      <c r="B291">
        <v>21</v>
      </c>
      <c r="C291" t="s">
        <v>106</v>
      </c>
      <c r="D291" t="s">
        <v>89</v>
      </c>
      <c r="E291" t="s">
        <v>114</v>
      </c>
      <c r="F291" t="s">
        <v>173</v>
      </c>
      <c r="G291" t="s">
        <v>174</v>
      </c>
      <c r="H291" t="s">
        <v>124</v>
      </c>
      <c r="I291" t="s">
        <v>71</v>
      </c>
      <c r="J291" t="s">
        <v>72</v>
      </c>
      <c r="K291" t="s">
        <v>73</v>
      </c>
      <c r="L291">
        <v>6.5</v>
      </c>
      <c r="M291">
        <v>4</v>
      </c>
      <c r="N291" t="s">
        <v>93</v>
      </c>
      <c r="O291" t="s">
        <v>75</v>
      </c>
      <c r="P291" t="s">
        <v>76</v>
      </c>
      <c r="Q291" t="s">
        <v>77</v>
      </c>
      <c r="R291" t="s">
        <v>78</v>
      </c>
      <c r="S291" t="s">
        <v>102</v>
      </c>
      <c r="T291" t="s">
        <v>102</v>
      </c>
      <c r="U291" t="s">
        <v>80</v>
      </c>
      <c r="V291" t="s">
        <v>80</v>
      </c>
      <c r="W291" t="s">
        <v>78</v>
      </c>
      <c r="X291" t="s">
        <v>595</v>
      </c>
      <c r="Y291">
        <v>10.5</v>
      </c>
      <c r="Z291">
        <v>6</v>
      </c>
      <c r="AA291" t="s">
        <v>82</v>
      </c>
      <c r="AB291" t="s">
        <v>83</v>
      </c>
      <c r="AC291">
        <v>6</v>
      </c>
      <c r="AD291">
        <v>8</v>
      </c>
      <c r="AE291">
        <v>4</v>
      </c>
      <c r="AF291">
        <v>7</v>
      </c>
      <c r="AG291">
        <v>6</v>
      </c>
      <c r="AH291">
        <v>7</v>
      </c>
      <c r="AI291" t="s">
        <v>80</v>
      </c>
      <c r="AJ291" t="s">
        <v>80</v>
      </c>
      <c r="AK291">
        <v>10</v>
      </c>
      <c r="AL291">
        <v>22</v>
      </c>
      <c r="AM291" t="s">
        <v>84</v>
      </c>
      <c r="AN291" t="s">
        <v>80</v>
      </c>
      <c r="AO291" t="s">
        <v>80</v>
      </c>
      <c r="AP291" t="s">
        <v>80</v>
      </c>
      <c r="AQ291">
        <v>4</v>
      </c>
      <c r="AR291">
        <v>3</v>
      </c>
      <c r="AS291">
        <v>4</v>
      </c>
      <c r="AT291" t="s">
        <v>85</v>
      </c>
      <c r="AU291">
        <v>12</v>
      </c>
      <c r="AV291" t="s">
        <v>80</v>
      </c>
      <c r="AW291" t="s">
        <v>80</v>
      </c>
      <c r="AX291">
        <v>7</v>
      </c>
      <c r="AY291" t="s">
        <v>78</v>
      </c>
      <c r="AZ291" t="s">
        <v>80</v>
      </c>
      <c r="BA291">
        <v>8</v>
      </c>
      <c r="BB291">
        <v>8</v>
      </c>
      <c r="BC291" t="s">
        <v>80</v>
      </c>
      <c r="BD291">
        <v>8</v>
      </c>
      <c r="BE291">
        <v>2</v>
      </c>
      <c r="BF291">
        <v>5</v>
      </c>
      <c r="BG291" t="s">
        <v>86</v>
      </c>
      <c r="BH291" t="s">
        <v>104</v>
      </c>
      <c r="BI291">
        <v>7.9</v>
      </c>
      <c r="BJ291">
        <v>8.3000000000000007</v>
      </c>
      <c r="BK291">
        <v>2.8</v>
      </c>
      <c r="BL291">
        <v>8.8000000000000007</v>
      </c>
    </row>
    <row r="292" spans="1:64" x14ac:dyDescent="0.25">
      <c r="A292" t="s">
        <v>616</v>
      </c>
      <c r="B292">
        <v>53</v>
      </c>
      <c r="C292" t="s">
        <v>453</v>
      </c>
      <c r="D292" t="s">
        <v>66</v>
      </c>
      <c r="E292" t="s">
        <v>90</v>
      </c>
      <c r="F292" t="s">
        <v>91</v>
      </c>
      <c r="G292" t="s">
        <v>92</v>
      </c>
      <c r="H292" t="s">
        <v>279</v>
      </c>
      <c r="I292" t="s">
        <v>166</v>
      </c>
      <c r="J292" t="s">
        <v>285</v>
      </c>
      <c r="K292" t="s">
        <v>290</v>
      </c>
      <c r="L292">
        <v>2</v>
      </c>
      <c r="M292">
        <v>11</v>
      </c>
      <c r="N292" t="s">
        <v>168</v>
      </c>
      <c r="O292" t="s">
        <v>272</v>
      </c>
      <c r="P292" t="s">
        <v>273</v>
      </c>
      <c r="Q292" t="s">
        <v>295</v>
      </c>
      <c r="R292" t="s">
        <v>274</v>
      </c>
      <c r="S292" t="s">
        <v>274</v>
      </c>
      <c r="T292" t="s">
        <v>274</v>
      </c>
      <c r="U292" t="s">
        <v>286</v>
      </c>
      <c r="V292" t="s">
        <v>274</v>
      </c>
      <c r="W292" t="s">
        <v>274</v>
      </c>
      <c r="X292" t="s">
        <v>324</v>
      </c>
      <c r="Y292">
        <v>5.5</v>
      </c>
      <c r="Z292">
        <v>8</v>
      </c>
      <c r="AA292" t="s">
        <v>266</v>
      </c>
      <c r="AB292" t="s">
        <v>78</v>
      </c>
      <c r="AC292">
        <v>9</v>
      </c>
      <c r="AD292">
        <v>2</v>
      </c>
      <c r="AE292">
        <v>1</v>
      </c>
      <c r="AF292">
        <v>2</v>
      </c>
      <c r="AG292">
        <v>2</v>
      </c>
      <c r="AH292">
        <v>1</v>
      </c>
      <c r="AI292" t="s">
        <v>274</v>
      </c>
      <c r="AJ292" t="s">
        <v>274</v>
      </c>
      <c r="AK292">
        <v>48</v>
      </c>
      <c r="AL292">
        <v>115</v>
      </c>
      <c r="AM292" t="s">
        <v>85</v>
      </c>
      <c r="AN292" t="s">
        <v>274</v>
      </c>
      <c r="AO292" t="s">
        <v>274</v>
      </c>
      <c r="AP292" t="s">
        <v>274</v>
      </c>
      <c r="AQ292">
        <v>9</v>
      </c>
      <c r="AR292">
        <v>8</v>
      </c>
      <c r="AS292">
        <v>9</v>
      </c>
      <c r="AT292" t="s">
        <v>266</v>
      </c>
      <c r="AU292">
        <v>56</v>
      </c>
      <c r="AV292" t="s">
        <v>274</v>
      </c>
      <c r="AW292" t="s">
        <v>274</v>
      </c>
      <c r="AX292">
        <v>1</v>
      </c>
      <c r="AY292" t="s">
        <v>83</v>
      </c>
      <c r="AZ292" t="s">
        <v>274</v>
      </c>
      <c r="BA292">
        <v>1</v>
      </c>
      <c r="BB292">
        <v>1</v>
      </c>
      <c r="BC292" t="s">
        <v>83</v>
      </c>
      <c r="BD292">
        <v>1</v>
      </c>
      <c r="BE292">
        <v>8</v>
      </c>
      <c r="BF292">
        <v>52</v>
      </c>
      <c r="BG292" t="s">
        <v>306</v>
      </c>
      <c r="BH292" t="s">
        <v>281</v>
      </c>
      <c r="BI292">
        <v>1.5</v>
      </c>
      <c r="BJ292">
        <v>2</v>
      </c>
      <c r="BK292">
        <v>9.1999999999999993</v>
      </c>
      <c r="BL292">
        <v>1.8</v>
      </c>
    </row>
    <row r="293" spans="1:64" x14ac:dyDescent="0.25">
      <c r="A293" t="s">
        <v>617</v>
      </c>
      <c r="B293">
        <v>19</v>
      </c>
      <c r="C293" t="s">
        <v>106</v>
      </c>
      <c r="D293" t="s">
        <v>66</v>
      </c>
      <c r="E293" t="s">
        <v>149</v>
      </c>
      <c r="F293" t="s">
        <v>150</v>
      </c>
      <c r="G293" t="s">
        <v>151</v>
      </c>
      <c r="H293" t="s">
        <v>70</v>
      </c>
      <c r="I293" t="s">
        <v>71</v>
      </c>
      <c r="J293" t="s">
        <v>72</v>
      </c>
      <c r="K293" t="s">
        <v>73</v>
      </c>
      <c r="L293">
        <v>7.5</v>
      </c>
      <c r="M293">
        <v>4</v>
      </c>
      <c r="N293" t="s">
        <v>74</v>
      </c>
      <c r="O293" t="s">
        <v>440</v>
      </c>
      <c r="P293" t="s">
        <v>76</v>
      </c>
      <c r="Q293" t="s">
        <v>77</v>
      </c>
      <c r="R293" t="s">
        <v>78</v>
      </c>
      <c r="S293" t="s">
        <v>79</v>
      </c>
      <c r="T293" t="s">
        <v>102</v>
      </c>
      <c r="U293" t="s">
        <v>80</v>
      </c>
      <c r="V293" t="s">
        <v>80</v>
      </c>
      <c r="W293" t="s">
        <v>78</v>
      </c>
      <c r="X293" t="s">
        <v>570</v>
      </c>
      <c r="Y293">
        <v>11.5</v>
      </c>
      <c r="Z293">
        <v>5.5</v>
      </c>
      <c r="AA293" t="s">
        <v>82</v>
      </c>
      <c r="AB293" t="s">
        <v>83</v>
      </c>
      <c r="AC293">
        <v>6</v>
      </c>
      <c r="AD293">
        <v>9</v>
      </c>
      <c r="AE293">
        <v>5</v>
      </c>
      <c r="AF293">
        <v>8</v>
      </c>
      <c r="AG293">
        <v>9</v>
      </c>
      <c r="AH293">
        <v>9</v>
      </c>
      <c r="AI293" t="s">
        <v>80</v>
      </c>
      <c r="AJ293" t="s">
        <v>80</v>
      </c>
      <c r="AK293">
        <v>8</v>
      </c>
      <c r="AL293">
        <v>17</v>
      </c>
      <c r="AM293" t="s">
        <v>84</v>
      </c>
      <c r="AN293" t="s">
        <v>80</v>
      </c>
      <c r="AO293" t="s">
        <v>80</v>
      </c>
      <c r="AP293" t="s">
        <v>80</v>
      </c>
      <c r="AQ293">
        <v>3</v>
      </c>
      <c r="AR293">
        <v>3</v>
      </c>
      <c r="AS293">
        <v>3</v>
      </c>
      <c r="AT293" t="s">
        <v>85</v>
      </c>
      <c r="AU293">
        <v>9</v>
      </c>
      <c r="AV293" t="s">
        <v>80</v>
      </c>
      <c r="AW293" t="s">
        <v>80</v>
      </c>
      <c r="AX293">
        <v>8</v>
      </c>
      <c r="AY293" t="s">
        <v>78</v>
      </c>
      <c r="AZ293" t="s">
        <v>80</v>
      </c>
      <c r="BA293">
        <v>9</v>
      </c>
      <c r="BB293">
        <v>9</v>
      </c>
      <c r="BC293" t="s">
        <v>80</v>
      </c>
      <c r="BD293">
        <v>10</v>
      </c>
      <c r="BE293">
        <v>2</v>
      </c>
      <c r="BF293">
        <v>3</v>
      </c>
      <c r="BG293" t="s">
        <v>136</v>
      </c>
      <c r="BH293" t="s">
        <v>87</v>
      </c>
      <c r="BI293">
        <v>9.4</v>
      </c>
      <c r="BJ293">
        <v>9.6</v>
      </c>
      <c r="BK293">
        <v>1.8</v>
      </c>
      <c r="BL293">
        <v>9.8000000000000007</v>
      </c>
    </row>
    <row r="294" spans="1:64" x14ac:dyDescent="0.25">
      <c r="A294" t="s">
        <v>618</v>
      </c>
      <c r="B294">
        <v>30</v>
      </c>
      <c r="C294" t="s">
        <v>278</v>
      </c>
      <c r="D294" t="s">
        <v>89</v>
      </c>
      <c r="E294" t="s">
        <v>107</v>
      </c>
      <c r="F294" t="s">
        <v>108</v>
      </c>
      <c r="G294" t="s">
        <v>109</v>
      </c>
      <c r="H294" t="s">
        <v>279</v>
      </c>
      <c r="I294" t="s">
        <v>166</v>
      </c>
      <c r="J294" t="s">
        <v>242</v>
      </c>
      <c r="K294" t="s">
        <v>143</v>
      </c>
      <c r="L294">
        <v>3</v>
      </c>
      <c r="M294">
        <v>9</v>
      </c>
      <c r="N294" t="s">
        <v>272</v>
      </c>
      <c r="O294" t="s">
        <v>110</v>
      </c>
      <c r="P294" t="s">
        <v>273</v>
      </c>
      <c r="Q294" t="s">
        <v>101</v>
      </c>
      <c r="R294" t="s">
        <v>111</v>
      </c>
      <c r="S294" t="s">
        <v>111</v>
      </c>
      <c r="T294" t="s">
        <v>274</v>
      </c>
      <c r="U294" t="s">
        <v>80</v>
      </c>
      <c r="V294" t="s">
        <v>274</v>
      </c>
      <c r="W294" t="s">
        <v>111</v>
      </c>
      <c r="X294" t="s">
        <v>318</v>
      </c>
      <c r="Y294">
        <v>7</v>
      </c>
      <c r="Z294">
        <v>8</v>
      </c>
      <c r="AA294" t="s">
        <v>266</v>
      </c>
      <c r="AB294" t="s">
        <v>275</v>
      </c>
      <c r="AC294">
        <v>9.5</v>
      </c>
      <c r="AD294">
        <v>4</v>
      </c>
      <c r="AE294">
        <v>2</v>
      </c>
      <c r="AF294">
        <v>4</v>
      </c>
      <c r="AG294">
        <v>3</v>
      </c>
      <c r="AH294">
        <v>3</v>
      </c>
      <c r="AI294" t="s">
        <v>111</v>
      </c>
      <c r="AJ294" t="s">
        <v>274</v>
      </c>
      <c r="AK294">
        <v>28</v>
      </c>
      <c r="AL294">
        <v>70</v>
      </c>
      <c r="AM294" t="s">
        <v>85</v>
      </c>
      <c r="AN294" t="s">
        <v>274</v>
      </c>
      <c r="AO294" t="s">
        <v>111</v>
      </c>
      <c r="AP294" t="s">
        <v>274</v>
      </c>
      <c r="AQ294">
        <v>7</v>
      </c>
      <c r="AR294">
        <v>6</v>
      </c>
      <c r="AS294">
        <v>7</v>
      </c>
      <c r="AT294" t="s">
        <v>266</v>
      </c>
      <c r="AU294">
        <v>40</v>
      </c>
      <c r="AV294" t="s">
        <v>274</v>
      </c>
      <c r="AW294" t="s">
        <v>274</v>
      </c>
      <c r="AX294">
        <v>3</v>
      </c>
      <c r="AY294" t="s">
        <v>274</v>
      </c>
      <c r="AZ294" t="s">
        <v>274</v>
      </c>
      <c r="BA294">
        <v>3</v>
      </c>
      <c r="BB294">
        <v>3</v>
      </c>
      <c r="BC294" t="s">
        <v>274</v>
      </c>
      <c r="BD294">
        <v>3</v>
      </c>
      <c r="BE294">
        <v>6</v>
      </c>
      <c r="BF294">
        <v>28</v>
      </c>
      <c r="BG294" t="s">
        <v>86</v>
      </c>
      <c r="BH294" t="s">
        <v>281</v>
      </c>
      <c r="BI294">
        <v>3</v>
      </c>
      <c r="BJ294">
        <v>3.6</v>
      </c>
      <c r="BK294">
        <v>7.2</v>
      </c>
      <c r="BL294">
        <v>3.8</v>
      </c>
    </row>
    <row r="295" spans="1:64" x14ac:dyDescent="0.25">
      <c r="A295" t="s">
        <v>619</v>
      </c>
      <c r="B295">
        <v>16</v>
      </c>
      <c r="C295" t="s">
        <v>65</v>
      </c>
      <c r="D295" t="s">
        <v>66</v>
      </c>
      <c r="E295" t="s">
        <v>90</v>
      </c>
      <c r="F295" t="s">
        <v>157</v>
      </c>
      <c r="G295" t="s">
        <v>158</v>
      </c>
      <c r="H295" t="s">
        <v>70</v>
      </c>
      <c r="I295" t="s">
        <v>71</v>
      </c>
      <c r="J295" t="s">
        <v>72</v>
      </c>
      <c r="K295" t="s">
        <v>73</v>
      </c>
      <c r="L295">
        <v>9</v>
      </c>
      <c r="M295">
        <v>5</v>
      </c>
      <c r="N295" t="s">
        <v>74</v>
      </c>
      <c r="O295" t="s">
        <v>93</v>
      </c>
      <c r="P295" t="s">
        <v>76</v>
      </c>
      <c r="Q295" t="s">
        <v>77</v>
      </c>
      <c r="R295" t="s">
        <v>78</v>
      </c>
      <c r="S295" t="s">
        <v>79</v>
      </c>
      <c r="T295" t="s">
        <v>79</v>
      </c>
      <c r="U295" t="s">
        <v>80</v>
      </c>
      <c r="V295" t="s">
        <v>80</v>
      </c>
      <c r="W295" t="s">
        <v>78</v>
      </c>
      <c r="X295" t="s">
        <v>620</v>
      </c>
      <c r="Y295">
        <v>13</v>
      </c>
      <c r="Z295">
        <v>4.5</v>
      </c>
      <c r="AA295" t="s">
        <v>94</v>
      </c>
      <c r="AB295" t="s">
        <v>83</v>
      </c>
      <c r="AC295">
        <v>5.5</v>
      </c>
      <c r="AD295">
        <v>10</v>
      </c>
      <c r="AE295">
        <v>5</v>
      </c>
      <c r="AF295">
        <v>10</v>
      </c>
      <c r="AG295">
        <v>10</v>
      </c>
      <c r="AH295">
        <v>10</v>
      </c>
      <c r="AI295" t="s">
        <v>80</v>
      </c>
      <c r="AJ295" t="s">
        <v>80</v>
      </c>
      <c r="AK295">
        <v>5</v>
      </c>
      <c r="AL295">
        <v>10</v>
      </c>
      <c r="AM295" t="s">
        <v>84</v>
      </c>
      <c r="AN295" t="s">
        <v>80</v>
      </c>
      <c r="AO295" t="s">
        <v>80</v>
      </c>
      <c r="AP295" t="s">
        <v>80</v>
      </c>
      <c r="AQ295">
        <v>2</v>
      </c>
      <c r="AR295">
        <v>2</v>
      </c>
      <c r="AS295">
        <v>2</v>
      </c>
      <c r="AT295" t="s">
        <v>556</v>
      </c>
      <c r="AU295">
        <v>5</v>
      </c>
      <c r="AV295" t="s">
        <v>80</v>
      </c>
      <c r="AW295" t="s">
        <v>80</v>
      </c>
      <c r="AX295">
        <v>10</v>
      </c>
      <c r="AY295" t="s">
        <v>78</v>
      </c>
      <c r="AZ295" t="s">
        <v>80</v>
      </c>
      <c r="BA295">
        <v>10</v>
      </c>
      <c r="BB295">
        <v>10</v>
      </c>
      <c r="BC295" t="s">
        <v>80</v>
      </c>
      <c r="BD295">
        <v>10</v>
      </c>
      <c r="BE295">
        <v>1</v>
      </c>
      <c r="BF295">
        <v>1</v>
      </c>
      <c r="BG295" t="s">
        <v>136</v>
      </c>
      <c r="BH295" t="s">
        <v>87</v>
      </c>
      <c r="BI295">
        <v>9.9</v>
      </c>
      <c r="BJ295">
        <v>10</v>
      </c>
      <c r="BK295">
        <v>1.1000000000000001</v>
      </c>
      <c r="BL295">
        <v>10</v>
      </c>
    </row>
    <row r="296" spans="1:64" x14ac:dyDescent="0.25">
      <c r="A296" t="s">
        <v>621</v>
      </c>
      <c r="B296">
        <v>39</v>
      </c>
      <c r="C296" t="s">
        <v>382</v>
      </c>
      <c r="D296" t="s">
        <v>89</v>
      </c>
      <c r="E296" t="s">
        <v>67</v>
      </c>
      <c r="F296" t="s">
        <v>68</v>
      </c>
      <c r="G296" t="s">
        <v>69</v>
      </c>
      <c r="H296" t="s">
        <v>279</v>
      </c>
      <c r="I296" t="s">
        <v>567</v>
      </c>
      <c r="J296" t="s">
        <v>167</v>
      </c>
      <c r="K296" t="s">
        <v>143</v>
      </c>
      <c r="L296">
        <v>5.5</v>
      </c>
      <c r="M296">
        <v>10</v>
      </c>
      <c r="N296" t="s">
        <v>75</v>
      </c>
      <c r="O296" t="s">
        <v>110</v>
      </c>
      <c r="P296" t="s">
        <v>100</v>
      </c>
      <c r="Q296" t="s">
        <v>101</v>
      </c>
      <c r="R296" t="s">
        <v>78</v>
      </c>
      <c r="S296" t="s">
        <v>102</v>
      </c>
      <c r="T296" t="s">
        <v>111</v>
      </c>
      <c r="U296" t="s">
        <v>80</v>
      </c>
      <c r="V296" t="s">
        <v>80</v>
      </c>
      <c r="W296" t="s">
        <v>102</v>
      </c>
      <c r="X296" t="s">
        <v>563</v>
      </c>
      <c r="Y296">
        <v>9.5</v>
      </c>
      <c r="Z296">
        <v>6.5</v>
      </c>
      <c r="AA296" t="s">
        <v>126</v>
      </c>
      <c r="AB296" t="s">
        <v>103</v>
      </c>
      <c r="AC296">
        <v>7</v>
      </c>
      <c r="AD296">
        <v>7</v>
      </c>
      <c r="AE296">
        <v>4</v>
      </c>
      <c r="AF296">
        <v>5</v>
      </c>
      <c r="AG296">
        <v>5</v>
      </c>
      <c r="AH296">
        <v>5</v>
      </c>
      <c r="AI296" t="s">
        <v>80</v>
      </c>
      <c r="AJ296" t="s">
        <v>111</v>
      </c>
      <c r="AK296">
        <v>15</v>
      </c>
      <c r="AL296">
        <v>35</v>
      </c>
      <c r="AM296" t="s">
        <v>131</v>
      </c>
      <c r="AN296" t="s">
        <v>111</v>
      </c>
      <c r="AO296" t="s">
        <v>80</v>
      </c>
      <c r="AP296" t="s">
        <v>111</v>
      </c>
      <c r="AQ296">
        <v>5</v>
      </c>
      <c r="AR296">
        <v>4</v>
      </c>
      <c r="AS296">
        <v>5</v>
      </c>
      <c r="AT296" t="s">
        <v>131</v>
      </c>
      <c r="AU296">
        <v>20</v>
      </c>
      <c r="AV296" t="s">
        <v>80</v>
      </c>
      <c r="AW296" t="s">
        <v>80</v>
      </c>
      <c r="AX296">
        <v>5</v>
      </c>
      <c r="AY296" t="s">
        <v>102</v>
      </c>
      <c r="AZ296" t="s">
        <v>80</v>
      </c>
      <c r="BA296">
        <v>7</v>
      </c>
      <c r="BB296">
        <v>6</v>
      </c>
      <c r="BC296" t="s">
        <v>111</v>
      </c>
      <c r="BD296">
        <v>7</v>
      </c>
      <c r="BE296">
        <v>4</v>
      </c>
      <c r="BF296">
        <v>12</v>
      </c>
      <c r="BG296" t="s">
        <v>86</v>
      </c>
      <c r="BH296" t="s">
        <v>131</v>
      </c>
      <c r="BI296">
        <v>6.2</v>
      </c>
      <c r="BJ296">
        <v>6.8</v>
      </c>
      <c r="BK296">
        <v>4.2</v>
      </c>
      <c r="BL296">
        <v>7.2</v>
      </c>
    </row>
    <row r="297" spans="1:64" x14ac:dyDescent="0.25">
      <c r="A297" t="s">
        <v>622</v>
      </c>
      <c r="B297">
        <v>24</v>
      </c>
      <c r="C297" t="s">
        <v>154</v>
      </c>
      <c r="D297" t="s">
        <v>66</v>
      </c>
      <c r="E297" t="s">
        <v>107</v>
      </c>
      <c r="F297" t="s">
        <v>122</v>
      </c>
      <c r="G297" t="s">
        <v>123</v>
      </c>
      <c r="H297" t="s">
        <v>124</v>
      </c>
      <c r="I297" t="s">
        <v>543</v>
      </c>
      <c r="J297" t="s">
        <v>462</v>
      </c>
      <c r="K297" t="s">
        <v>73</v>
      </c>
      <c r="L297">
        <v>6.5</v>
      </c>
      <c r="M297">
        <v>6</v>
      </c>
      <c r="N297" t="s">
        <v>74</v>
      </c>
      <c r="O297" t="s">
        <v>93</v>
      </c>
      <c r="P297" t="s">
        <v>76</v>
      </c>
      <c r="Q297" t="s">
        <v>77</v>
      </c>
      <c r="R297" t="s">
        <v>78</v>
      </c>
      <c r="S297" t="s">
        <v>102</v>
      </c>
      <c r="T297" t="s">
        <v>102</v>
      </c>
      <c r="U297" t="s">
        <v>80</v>
      </c>
      <c r="V297" t="s">
        <v>80</v>
      </c>
      <c r="W297" t="s">
        <v>78</v>
      </c>
      <c r="X297" t="s">
        <v>125</v>
      </c>
      <c r="Y297">
        <v>10.5</v>
      </c>
      <c r="Z297">
        <v>6</v>
      </c>
      <c r="AA297" t="s">
        <v>82</v>
      </c>
      <c r="AB297" t="s">
        <v>83</v>
      </c>
      <c r="AC297">
        <v>0</v>
      </c>
      <c r="AD297">
        <v>8</v>
      </c>
      <c r="AE297">
        <v>4</v>
      </c>
      <c r="AF297">
        <v>7</v>
      </c>
      <c r="AG297">
        <v>7</v>
      </c>
      <c r="AH297">
        <v>7</v>
      </c>
      <c r="AI297" t="s">
        <v>80</v>
      </c>
      <c r="AJ297" t="s">
        <v>80</v>
      </c>
      <c r="AK297">
        <v>11</v>
      </c>
      <c r="AL297">
        <v>24</v>
      </c>
      <c r="AM297" t="s">
        <v>84</v>
      </c>
      <c r="AN297" t="s">
        <v>80</v>
      </c>
      <c r="AO297" t="s">
        <v>80</v>
      </c>
      <c r="AP297" t="s">
        <v>80</v>
      </c>
      <c r="AQ297">
        <v>3</v>
      </c>
      <c r="AR297">
        <v>3</v>
      </c>
      <c r="AS297">
        <v>3</v>
      </c>
      <c r="AT297" t="s">
        <v>85</v>
      </c>
      <c r="AU297">
        <v>12</v>
      </c>
      <c r="AV297" t="s">
        <v>80</v>
      </c>
      <c r="AW297" t="s">
        <v>80</v>
      </c>
      <c r="AX297">
        <v>7</v>
      </c>
      <c r="AY297" t="s">
        <v>78</v>
      </c>
      <c r="AZ297" t="s">
        <v>80</v>
      </c>
      <c r="BA297">
        <v>8</v>
      </c>
      <c r="BB297">
        <v>8</v>
      </c>
      <c r="BC297" t="s">
        <v>80</v>
      </c>
      <c r="BD297">
        <v>9</v>
      </c>
      <c r="BE297">
        <v>3</v>
      </c>
      <c r="BF297">
        <v>6</v>
      </c>
      <c r="BG297" t="s">
        <v>152</v>
      </c>
      <c r="BH297" t="s">
        <v>104</v>
      </c>
      <c r="BI297">
        <v>7.8</v>
      </c>
      <c r="BJ297">
        <v>8.1999999999999993</v>
      </c>
      <c r="BK297">
        <v>2.9</v>
      </c>
      <c r="BL297">
        <v>8.6999999999999993</v>
      </c>
    </row>
    <row r="298" spans="1:64" x14ac:dyDescent="0.25">
      <c r="A298" t="s">
        <v>623</v>
      </c>
      <c r="B298">
        <v>35</v>
      </c>
      <c r="C298" t="s">
        <v>278</v>
      </c>
      <c r="D298" t="s">
        <v>89</v>
      </c>
      <c r="E298" t="s">
        <v>97</v>
      </c>
      <c r="F298" t="s">
        <v>257</v>
      </c>
      <c r="G298" t="s">
        <v>258</v>
      </c>
      <c r="H298" t="s">
        <v>124</v>
      </c>
      <c r="I298" t="s">
        <v>166</v>
      </c>
      <c r="J298" t="s">
        <v>264</v>
      </c>
      <c r="K298" t="s">
        <v>290</v>
      </c>
      <c r="L298">
        <v>4</v>
      </c>
      <c r="M298">
        <v>8</v>
      </c>
      <c r="N298" t="s">
        <v>135</v>
      </c>
      <c r="O298" t="s">
        <v>74</v>
      </c>
      <c r="P298" t="s">
        <v>100</v>
      </c>
      <c r="Q298" t="s">
        <v>101</v>
      </c>
      <c r="R298" t="s">
        <v>111</v>
      </c>
      <c r="S298" t="s">
        <v>111</v>
      </c>
      <c r="T298" t="s">
        <v>111</v>
      </c>
      <c r="U298" t="s">
        <v>80</v>
      </c>
      <c r="V298" t="s">
        <v>111</v>
      </c>
      <c r="W298" t="s">
        <v>111</v>
      </c>
      <c r="X298" t="s">
        <v>624</v>
      </c>
      <c r="Y298">
        <v>8</v>
      </c>
      <c r="Z298">
        <v>7.5</v>
      </c>
      <c r="AA298" t="s">
        <v>266</v>
      </c>
      <c r="AB298" t="s">
        <v>103</v>
      </c>
      <c r="AC298">
        <v>8.5</v>
      </c>
      <c r="AD298">
        <v>5</v>
      </c>
      <c r="AE298">
        <v>2</v>
      </c>
      <c r="AF298">
        <v>5</v>
      </c>
      <c r="AG298">
        <v>4</v>
      </c>
      <c r="AH298">
        <v>4</v>
      </c>
      <c r="AI298" t="s">
        <v>111</v>
      </c>
      <c r="AJ298" t="s">
        <v>111</v>
      </c>
      <c r="AK298">
        <v>22</v>
      </c>
      <c r="AL298">
        <v>55</v>
      </c>
      <c r="AM298" t="s">
        <v>131</v>
      </c>
      <c r="AN298" t="s">
        <v>111</v>
      </c>
      <c r="AO298" t="s">
        <v>111</v>
      </c>
      <c r="AP298" t="s">
        <v>274</v>
      </c>
      <c r="AQ298">
        <v>5</v>
      </c>
      <c r="AR298">
        <v>5</v>
      </c>
      <c r="AS298">
        <v>5</v>
      </c>
      <c r="AT298" t="s">
        <v>131</v>
      </c>
      <c r="AU298">
        <v>28</v>
      </c>
      <c r="AV298" t="s">
        <v>111</v>
      </c>
      <c r="AW298" t="s">
        <v>111</v>
      </c>
      <c r="AX298">
        <v>4</v>
      </c>
      <c r="AY298" t="s">
        <v>111</v>
      </c>
      <c r="AZ298" t="s">
        <v>111</v>
      </c>
      <c r="BA298">
        <v>4</v>
      </c>
      <c r="BB298">
        <v>4</v>
      </c>
      <c r="BC298" t="s">
        <v>111</v>
      </c>
      <c r="BD298">
        <v>4</v>
      </c>
      <c r="BE298">
        <v>5</v>
      </c>
      <c r="BF298">
        <v>18</v>
      </c>
      <c r="BG298" t="s">
        <v>117</v>
      </c>
      <c r="BH298" t="s">
        <v>171</v>
      </c>
      <c r="BI298">
        <v>4.8</v>
      </c>
      <c r="BJ298">
        <v>5.4</v>
      </c>
      <c r="BK298">
        <v>5.4</v>
      </c>
      <c r="BL298">
        <v>5.8</v>
      </c>
    </row>
    <row r="299" spans="1:64" x14ac:dyDescent="0.25">
      <c r="A299" t="s">
        <v>625</v>
      </c>
      <c r="B299">
        <v>20</v>
      </c>
      <c r="C299" t="s">
        <v>106</v>
      </c>
      <c r="D299" t="s">
        <v>66</v>
      </c>
      <c r="E299" t="s">
        <v>114</v>
      </c>
      <c r="F299" t="s">
        <v>115</v>
      </c>
      <c r="G299" t="s">
        <v>116</v>
      </c>
      <c r="H299" t="s">
        <v>70</v>
      </c>
      <c r="I299" t="s">
        <v>71</v>
      </c>
      <c r="J299" t="s">
        <v>72</v>
      </c>
      <c r="K299" t="s">
        <v>73</v>
      </c>
      <c r="L299">
        <v>8</v>
      </c>
      <c r="M299">
        <v>4</v>
      </c>
      <c r="N299" t="s">
        <v>93</v>
      </c>
      <c r="O299" t="s">
        <v>74</v>
      </c>
      <c r="P299" t="s">
        <v>76</v>
      </c>
      <c r="Q299" t="s">
        <v>77</v>
      </c>
      <c r="R299" t="s">
        <v>78</v>
      </c>
      <c r="S299" t="s">
        <v>79</v>
      </c>
      <c r="T299" t="s">
        <v>102</v>
      </c>
      <c r="U299" t="s">
        <v>80</v>
      </c>
      <c r="V299" t="s">
        <v>80</v>
      </c>
      <c r="W299" t="s">
        <v>78</v>
      </c>
      <c r="X299" t="s">
        <v>81</v>
      </c>
      <c r="Y299">
        <v>12</v>
      </c>
      <c r="Z299">
        <v>5.5</v>
      </c>
      <c r="AA299" t="s">
        <v>82</v>
      </c>
      <c r="AB299" t="s">
        <v>83</v>
      </c>
      <c r="AC299">
        <v>6</v>
      </c>
      <c r="AD299">
        <v>9</v>
      </c>
      <c r="AE299">
        <v>5</v>
      </c>
      <c r="AF299">
        <v>8</v>
      </c>
      <c r="AG299">
        <v>8</v>
      </c>
      <c r="AH299">
        <v>9</v>
      </c>
      <c r="AI299" t="s">
        <v>80</v>
      </c>
      <c r="AJ299" t="s">
        <v>80</v>
      </c>
      <c r="AK299">
        <v>8</v>
      </c>
      <c r="AL299">
        <v>17</v>
      </c>
      <c r="AM299" t="s">
        <v>84</v>
      </c>
      <c r="AN299" t="s">
        <v>80</v>
      </c>
      <c r="AO299" t="s">
        <v>80</v>
      </c>
      <c r="AP299" t="s">
        <v>80</v>
      </c>
      <c r="AQ299">
        <v>3</v>
      </c>
      <c r="AR299">
        <v>3</v>
      </c>
      <c r="AS299">
        <v>3</v>
      </c>
      <c r="AT299" t="s">
        <v>85</v>
      </c>
      <c r="AU299">
        <v>9</v>
      </c>
      <c r="AV299" t="s">
        <v>80</v>
      </c>
      <c r="AW299" t="s">
        <v>80</v>
      </c>
      <c r="AX299">
        <v>8</v>
      </c>
      <c r="AY299" t="s">
        <v>78</v>
      </c>
      <c r="AZ299" t="s">
        <v>80</v>
      </c>
      <c r="BA299">
        <v>9</v>
      </c>
      <c r="BB299">
        <v>9</v>
      </c>
      <c r="BC299" t="s">
        <v>80</v>
      </c>
      <c r="BD299">
        <v>9</v>
      </c>
      <c r="BE299">
        <v>2</v>
      </c>
      <c r="BF299">
        <v>3</v>
      </c>
      <c r="BG299" t="s">
        <v>117</v>
      </c>
      <c r="BH299" t="s">
        <v>87</v>
      </c>
      <c r="BI299">
        <v>9.1999999999999993</v>
      </c>
      <c r="BJ299">
        <v>9.5</v>
      </c>
      <c r="BK299">
        <v>2</v>
      </c>
      <c r="BL299">
        <v>9.6999999999999993</v>
      </c>
    </row>
    <row r="300" spans="1:64" x14ac:dyDescent="0.25">
      <c r="A300" t="s">
        <v>626</v>
      </c>
      <c r="B300">
        <v>46</v>
      </c>
      <c r="C300" t="s">
        <v>382</v>
      </c>
      <c r="D300" t="s">
        <v>89</v>
      </c>
      <c r="E300" t="s">
        <v>90</v>
      </c>
      <c r="F300" t="s">
        <v>207</v>
      </c>
      <c r="G300" t="s">
        <v>208</v>
      </c>
      <c r="H300" t="s">
        <v>124</v>
      </c>
      <c r="I300" t="s">
        <v>166</v>
      </c>
      <c r="J300" t="s">
        <v>315</v>
      </c>
      <c r="K300" t="s">
        <v>290</v>
      </c>
      <c r="L300">
        <v>3.5</v>
      </c>
      <c r="M300">
        <v>10</v>
      </c>
      <c r="N300" t="s">
        <v>135</v>
      </c>
      <c r="O300" t="s">
        <v>75</v>
      </c>
      <c r="P300" t="s">
        <v>273</v>
      </c>
      <c r="Q300" t="s">
        <v>101</v>
      </c>
      <c r="R300" t="s">
        <v>111</v>
      </c>
      <c r="S300" t="s">
        <v>111</v>
      </c>
      <c r="T300" t="s">
        <v>274</v>
      </c>
      <c r="U300" t="s">
        <v>80</v>
      </c>
      <c r="V300" t="s">
        <v>274</v>
      </c>
      <c r="W300" t="s">
        <v>111</v>
      </c>
      <c r="X300" t="s">
        <v>428</v>
      </c>
      <c r="Y300">
        <v>7.5</v>
      </c>
      <c r="Z300">
        <v>7.5</v>
      </c>
      <c r="AA300" t="s">
        <v>266</v>
      </c>
      <c r="AB300" t="s">
        <v>275</v>
      </c>
      <c r="AC300">
        <v>8.5</v>
      </c>
      <c r="AD300">
        <v>4</v>
      </c>
      <c r="AE300">
        <v>2</v>
      </c>
      <c r="AF300">
        <v>4</v>
      </c>
      <c r="AG300">
        <v>4</v>
      </c>
      <c r="AH300">
        <v>3</v>
      </c>
      <c r="AI300" t="s">
        <v>111</v>
      </c>
      <c r="AJ300" t="s">
        <v>274</v>
      </c>
      <c r="AK300">
        <v>26</v>
      </c>
      <c r="AL300">
        <v>65</v>
      </c>
      <c r="AM300" t="s">
        <v>85</v>
      </c>
      <c r="AN300" t="s">
        <v>274</v>
      </c>
      <c r="AO300" t="s">
        <v>111</v>
      </c>
      <c r="AP300" t="s">
        <v>274</v>
      </c>
      <c r="AQ300">
        <v>7</v>
      </c>
      <c r="AR300">
        <v>6</v>
      </c>
      <c r="AS300">
        <v>7</v>
      </c>
      <c r="AT300" t="s">
        <v>266</v>
      </c>
      <c r="AU300">
        <v>38</v>
      </c>
      <c r="AV300" t="s">
        <v>274</v>
      </c>
      <c r="AW300" t="s">
        <v>274</v>
      </c>
      <c r="AX300">
        <v>3</v>
      </c>
      <c r="AY300" t="s">
        <v>274</v>
      </c>
      <c r="AZ300" t="s">
        <v>274</v>
      </c>
      <c r="BA300">
        <v>3</v>
      </c>
      <c r="BB300">
        <v>3</v>
      </c>
      <c r="BC300" t="s">
        <v>274</v>
      </c>
      <c r="BD300">
        <v>3</v>
      </c>
      <c r="BE300">
        <v>6</v>
      </c>
      <c r="BF300">
        <v>28</v>
      </c>
      <c r="BG300" t="s">
        <v>86</v>
      </c>
      <c r="BH300" t="s">
        <v>281</v>
      </c>
      <c r="BI300">
        <v>3.2</v>
      </c>
      <c r="BJ300">
        <v>3.8</v>
      </c>
      <c r="BK300">
        <v>7</v>
      </c>
      <c r="BL300">
        <v>4</v>
      </c>
    </row>
    <row r="301" spans="1:64" x14ac:dyDescent="0.25">
      <c r="A301" t="s">
        <v>627</v>
      </c>
      <c r="B301">
        <v>22</v>
      </c>
      <c r="C301" t="s">
        <v>106</v>
      </c>
      <c r="D301" t="s">
        <v>89</v>
      </c>
      <c r="E301" t="s">
        <v>97</v>
      </c>
      <c r="F301" t="s">
        <v>98</v>
      </c>
      <c r="G301" t="s">
        <v>99</v>
      </c>
      <c r="H301" t="s">
        <v>124</v>
      </c>
      <c r="I301" t="s">
        <v>71</v>
      </c>
      <c r="J301" t="s">
        <v>72</v>
      </c>
      <c r="K301" t="s">
        <v>73</v>
      </c>
      <c r="L301">
        <v>7.5</v>
      </c>
      <c r="M301">
        <v>5</v>
      </c>
      <c r="N301" t="s">
        <v>74</v>
      </c>
      <c r="O301" t="s">
        <v>93</v>
      </c>
      <c r="P301" t="s">
        <v>76</v>
      </c>
      <c r="Q301" t="s">
        <v>77</v>
      </c>
      <c r="R301" t="s">
        <v>78</v>
      </c>
      <c r="S301" t="s">
        <v>79</v>
      </c>
      <c r="T301" t="s">
        <v>102</v>
      </c>
      <c r="U301" t="s">
        <v>80</v>
      </c>
      <c r="V301" t="s">
        <v>80</v>
      </c>
      <c r="W301" t="s">
        <v>78</v>
      </c>
      <c r="X301" t="s">
        <v>81</v>
      </c>
      <c r="Y301">
        <v>11.5</v>
      </c>
      <c r="Z301">
        <v>5.5</v>
      </c>
      <c r="AA301" t="s">
        <v>82</v>
      </c>
      <c r="AB301" t="s">
        <v>83</v>
      </c>
      <c r="AC301">
        <v>6</v>
      </c>
      <c r="AD301">
        <v>9</v>
      </c>
      <c r="AE301">
        <v>5</v>
      </c>
      <c r="AF301">
        <v>8</v>
      </c>
      <c r="AG301">
        <v>7</v>
      </c>
      <c r="AH301">
        <v>8</v>
      </c>
      <c r="AI301" t="s">
        <v>80</v>
      </c>
      <c r="AJ301" t="s">
        <v>80</v>
      </c>
      <c r="AK301">
        <v>8</v>
      </c>
      <c r="AL301">
        <v>18</v>
      </c>
      <c r="AM301" t="s">
        <v>84</v>
      </c>
      <c r="AN301" t="s">
        <v>80</v>
      </c>
      <c r="AO301" t="s">
        <v>80</v>
      </c>
      <c r="AP301" t="s">
        <v>80</v>
      </c>
      <c r="AQ301">
        <v>3</v>
      </c>
      <c r="AR301">
        <v>3</v>
      </c>
      <c r="AS301">
        <v>3</v>
      </c>
      <c r="AT301" t="s">
        <v>85</v>
      </c>
      <c r="AU301">
        <v>10</v>
      </c>
      <c r="AV301" t="s">
        <v>80</v>
      </c>
      <c r="AW301" t="s">
        <v>80</v>
      </c>
      <c r="AX301">
        <v>8</v>
      </c>
      <c r="AY301" t="s">
        <v>78</v>
      </c>
      <c r="AZ301" t="s">
        <v>80</v>
      </c>
      <c r="BA301">
        <v>9</v>
      </c>
      <c r="BB301">
        <v>8</v>
      </c>
      <c r="BC301" t="s">
        <v>80</v>
      </c>
      <c r="BD301">
        <v>9</v>
      </c>
      <c r="BE301">
        <v>2</v>
      </c>
      <c r="BF301">
        <v>3</v>
      </c>
      <c r="BG301" t="s">
        <v>86</v>
      </c>
      <c r="BH301" t="s">
        <v>87</v>
      </c>
      <c r="BI301">
        <v>9</v>
      </c>
      <c r="BJ301">
        <v>9.4</v>
      </c>
      <c r="BK301">
        <v>2.1</v>
      </c>
      <c r="BL301">
        <v>9.6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0"/>
  <sheetViews>
    <sheetView showGridLines="0" tabSelected="1" workbookViewId="0">
      <selection activeCell="L14" sqref="L14"/>
    </sheetView>
  </sheetViews>
  <sheetFormatPr defaultRowHeight="15" x14ac:dyDescent="0.25"/>
  <cols>
    <col min="1" max="1" width="27.7109375" customWidth="1"/>
    <col min="2" max="2" width="27.140625" customWidth="1"/>
    <col min="5" max="5" width="20.42578125" customWidth="1"/>
    <col min="12" max="12" width="19.7109375" customWidth="1"/>
    <col min="13" max="13" width="20" customWidth="1"/>
  </cols>
  <sheetData>
    <row r="2" spans="1:12" ht="15.75" x14ac:dyDescent="0.25">
      <c r="D2" s="5" t="s">
        <v>648</v>
      </c>
    </row>
    <row r="3" spans="1:12" x14ac:dyDescent="0.25">
      <c r="A3" t="s">
        <v>628</v>
      </c>
      <c r="B3" t="s">
        <v>649</v>
      </c>
      <c r="D3" t="s">
        <v>629</v>
      </c>
      <c r="G3" t="s">
        <v>630</v>
      </c>
      <c r="I3" t="s">
        <v>631</v>
      </c>
      <c r="L3" t="s">
        <v>632</v>
      </c>
    </row>
    <row r="4" spans="1:12" x14ac:dyDescent="0.25">
      <c r="A4">
        <f>COUNTA(Table1[participant_id])</f>
        <v>300</v>
      </c>
      <c r="B4">
        <f>COUNTIF(Table1[primary_platform], "Instagram")</f>
        <v>95</v>
      </c>
      <c r="D4">
        <f>AVERAGE(Table1[avg_daily_screen_time_hours])</f>
        <v>7.83</v>
      </c>
      <c r="G4">
        <f>COUNTIF(Table1[gender], "Male")</f>
        <v>145</v>
      </c>
      <c r="I4">
        <f>COUNTIF(Table1[gender], "Female")</f>
        <v>148</v>
      </c>
      <c r="L4">
        <f>AVERAGE(Table1[avg_sleep_hours])</f>
        <v>7.3250000000000002</v>
      </c>
    </row>
    <row r="6" spans="1:12" x14ac:dyDescent="0.25">
      <c r="A6" t="s">
        <v>634</v>
      </c>
      <c r="B6" t="s">
        <v>633</v>
      </c>
      <c r="E6" t="s">
        <v>635</v>
      </c>
      <c r="G6" t="s">
        <v>636</v>
      </c>
      <c r="K6" t="s">
        <v>650</v>
      </c>
    </row>
    <row r="7" spans="1:12" x14ac:dyDescent="0.25">
      <c r="A7">
        <f>MIN(Table1[age])</f>
        <v>15</v>
      </c>
      <c r="B7">
        <f>MAX(Table1[age])</f>
        <v>75</v>
      </c>
      <c r="E7">
        <f>COUNTIF(Table1[occupation_category], "Education")</f>
        <v>96</v>
      </c>
      <c r="G7">
        <f>COUNTIF(Table1[employment_status], "Full-time employed")</f>
        <v>188</v>
      </c>
      <c r="K7">
        <f>AVERAGE(Table1[sm_addiction_risk_score])</f>
        <v>6.1703333333333381</v>
      </c>
    </row>
    <row r="9" spans="1:12" x14ac:dyDescent="0.25">
      <c r="A9" t="s">
        <v>651</v>
      </c>
      <c r="C9" t="s">
        <v>652</v>
      </c>
      <c r="F9" t="s">
        <v>654</v>
      </c>
      <c r="J9" t="s">
        <v>655</v>
      </c>
    </row>
    <row r="10" spans="1:12" x14ac:dyDescent="0.25">
      <c r="A10">
        <f>AVERAGE(Table1[anxiety_when_phone_unavailable])</f>
        <v>4.3</v>
      </c>
      <c r="C10">
        <f>MAX(Table1[restlessness_score])</f>
        <v>10</v>
      </c>
      <c r="F10">
        <f>SUMPRODUCT(1/COUNTIF(Table1[country_of_residence], Table1[country_of_residence] &amp; ""))</f>
        <v>39.000000000000057</v>
      </c>
      <c r="J10">
        <f>SUMPRODUCT(1/COUNTIF(Table1[nationality], Table1[nationality] &amp; ""))</f>
        <v>39.000000000000057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Sheet4</vt:lpstr>
      <vt:lpstr>Sheet5</vt:lpstr>
      <vt:lpstr>Sheet6</vt:lpstr>
      <vt:lpstr>social_media_dopamine_productiv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2026-09-21T22:23:56Z</dcterms:created>
  <dcterms:modified xsi:type="dcterms:W3CDTF">2026-09-27T17:49:34Z</dcterms:modified>
</cp:coreProperties>
</file>